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66925"/>
  <mc:AlternateContent xmlns:mc="http://schemas.openxmlformats.org/markup-compatibility/2006">
    <mc:Choice Requires="x15">
      <x15ac:absPath xmlns:x15ac="http://schemas.microsoft.com/office/spreadsheetml/2010/11/ac" url="https://kuleuven-my.sharepoint.com/personal/flore_verbist_kuleuven_be/Documents/PhD Flore/P4_negative_emissions/Scripts/Script_P2_CDR_ETS/Script_P2_CDR_ETS/"/>
    </mc:Choice>
  </mc:AlternateContent>
  <xr:revisionPtr revIDLastSave="1" documentId="13_ncr:1_{5E803A50-6B4F-42CA-9512-3D865829C1A6}" xr6:coauthVersionLast="47" xr6:coauthVersionMax="47" xr10:uidLastSave="{B5361666-C8BA-4617-AA5B-37C85DEA241E}"/>
  <bookViews>
    <workbookView xWindow="-110" yWindow="-110" windowWidth="19420" windowHeight="10420" activeTab="2" xr2:uid="{F142FCE0-225E-4FD9-8807-8131AEEDC974}"/>
  </bookViews>
  <sheets>
    <sheet name="Parameters" sheetId="1" r:id="rId1"/>
    <sheet name="Timeseries" sheetId="3" r:id="rId2"/>
    <sheet name="Results" sheetId="8" r:id="rId3"/>
    <sheet name="Results_old" sheetId="7" r:id="rId4"/>
    <sheet name="Variables" sheetId="2" r:id="rId5"/>
    <sheet name="Data_export" sheetId="4" r:id="rId6"/>
    <sheet name="BackUpSheet_new" sheetId="6" r:id="rId7"/>
    <sheet name="BackUpSheet_old"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8" l="1"/>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7" i="3"/>
  <c r="F5" i="3"/>
  <c r="F4" i="3"/>
  <c r="F6" i="3"/>
  <c r="F7" i="3"/>
  <c r="F8" i="3"/>
  <c r="F9" i="3"/>
  <c r="F10" i="3"/>
  <c r="F11" i="3"/>
  <c r="F12" i="3"/>
  <c r="F13" i="3"/>
  <c r="F14" i="3"/>
  <c r="F15" i="3"/>
  <c r="F16" i="3"/>
  <c r="F17" i="3"/>
  <c r="F18" i="3"/>
  <c r="F19" i="3"/>
  <c r="F20" i="3"/>
  <c r="F21" i="3"/>
  <c r="F22" i="3"/>
  <c r="F23" i="3"/>
  <c r="F3" i="3"/>
  <c r="B9" i="1"/>
  <c r="B16" i="1"/>
  <c r="B12" i="1"/>
  <c r="B28" i="1"/>
  <c r="B32" i="1"/>
  <c r="D3" i="3"/>
  <c r="D4" i="3" s="1"/>
  <c r="D5" i="3" s="1"/>
  <c r="D6" i="3" s="1"/>
  <c r="D7" i="3" s="1"/>
  <c r="D8" i="3" s="1"/>
  <c r="D9" i="3" s="1"/>
  <c r="D10" i="3" s="1"/>
  <c r="D11" i="3" s="1"/>
  <c r="D12" i="3" s="1"/>
  <c r="D13" i="3" s="1"/>
  <c r="D14" i="3" s="1"/>
  <c r="D15" i="3" s="1"/>
  <c r="D16" i="3" s="1"/>
  <c r="D17" i="3" s="1"/>
  <c r="D18" i="3" s="1"/>
  <c r="D19" i="3" s="1"/>
  <c r="D20" i="3" s="1"/>
  <c r="D21" i="3" s="1"/>
  <c r="D22" i="3" s="1"/>
  <c r="D23" i="3" s="1"/>
  <c r="D24" i="3" s="1"/>
  <c r="H2" i="3"/>
  <c r="C9" i="1"/>
  <c r="C10" i="1"/>
  <c r="C8" i="1" s="1"/>
  <c r="J3" i="3"/>
  <c r="J4" i="3"/>
  <c r="J5" i="3"/>
  <c r="J6" i="3"/>
  <c r="J7" i="3"/>
  <c r="B33" i="6" s="1"/>
  <c r="J8" i="3"/>
  <c r="J9" i="3"/>
  <c r="J10" i="3"/>
  <c r="J11" i="3"/>
  <c r="J12" i="3"/>
  <c r="J13" i="3"/>
  <c r="J14" i="3"/>
  <c r="J15" i="3"/>
  <c r="J16" i="3"/>
  <c r="J17" i="3"/>
  <c r="J18" i="3"/>
  <c r="J19" i="3"/>
  <c r="J20" i="3"/>
  <c r="J21" i="3"/>
  <c r="J22" i="3"/>
  <c r="J23" i="3"/>
  <c r="J24" i="3"/>
  <c r="J25" i="3"/>
  <c r="J26" i="3"/>
  <c r="J27" i="3"/>
  <c r="J28" i="3"/>
  <c r="J2" i="3"/>
  <c r="AB28" i="3"/>
  <c r="B2" i="1"/>
  <c r="C12" i="1"/>
  <c r="C16" i="1"/>
  <c r="C17" i="1"/>
  <c r="C36" i="1"/>
  <c r="C37" i="1"/>
  <c r="C38" i="1" s="1"/>
  <c r="X28" i="3"/>
  <c r="C28" i="3"/>
  <c r="C30" i="3" s="1"/>
  <c r="K28" i="3"/>
  <c r="AB27" i="3"/>
  <c r="AB26" i="3"/>
  <c r="AB25" i="3"/>
  <c r="AB24" i="3"/>
  <c r="AB23" i="3"/>
  <c r="AB22" i="3"/>
  <c r="AB21" i="3"/>
  <c r="AB20" i="3"/>
  <c r="AB19" i="3"/>
  <c r="AB18" i="3"/>
  <c r="AB17" i="3"/>
  <c r="AB16" i="3"/>
  <c r="AB15" i="3"/>
  <c r="AB14" i="3"/>
  <c r="AB13" i="3"/>
  <c r="AB12" i="3"/>
  <c r="AB11" i="3"/>
  <c r="AB10" i="3"/>
  <c r="AB9" i="3"/>
  <c r="AB8" i="3"/>
  <c r="AB7" i="3"/>
  <c r="AB6" i="3"/>
  <c r="AB5" i="3"/>
  <c r="AB4" i="3"/>
  <c r="AB3" i="3"/>
  <c r="AB2" i="3"/>
  <c r="C27" i="3"/>
  <c r="K27" i="3"/>
  <c r="V27" i="3"/>
  <c r="W27" i="3"/>
  <c r="X27" i="3"/>
  <c r="Y27" i="3" s="1"/>
  <c r="Z27" i="3" s="1"/>
  <c r="C26" i="3"/>
  <c r="H40" i="1"/>
  <c r="G40" i="1"/>
  <c r="H38" i="1"/>
  <c r="G38" i="1"/>
  <c r="C17" i="3"/>
  <c r="C18" i="3"/>
  <c r="C19" i="3"/>
  <c r="C20" i="3"/>
  <c r="C21" i="3"/>
  <c r="C22" i="3"/>
  <c r="C23" i="3"/>
  <c r="C24" i="3"/>
  <c r="C25" i="3"/>
  <c r="AA7" i="3"/>
  <c r="AA11" i="3" s="1"/>
  <c r="C11" i="3" s="1"/>
  <c r="AA2" i="3"/>
  <c r="C2" i="3" s="1"/>
  <c r="X26" i="3"/>
  <c r="Y26" i="3" s="1"/>
  <c r="Z26" i="3" s="1"/>
  <c r="X25" i="3"/>
  <c r="Y25" i="3" s="1"/>
  <c r="Z25" i="3" s="1"/>
  <c r="X24" i="3"/>
  <c r="Y24" i="3" s="1"/>
  <c r="Z24" i="3" s="1"/>
  <c r="X23" i="3"/>
  <c r="Y23" i="3" s="1"/>
  <c r="Z23" i="3" s="1"/>
  <c r="X22" i="3"/>
  <c r="Y22" i="3" s="1"/>
  <c r="Z22" i="3" s="1"/>
  <c r="X21" i="3"/>
  <c r="Y21" i="3" s="1"/>
  <c r="Z21" i="3" s="1"/>
  <c r="X20" i="3"/>
  <c r="Y20" i="3" s="1"/>
  <c r="Z20" i="3" s="1"/>
  <c r="X19" i="3"/>
  <c r="Y19" i="3" s="1"/>
  <c r="Z19" i="3" s="1"/>
  <c r="X18" i="3"/>
  <c r="Y18" i="3" s="1"/>
  <c r="Z18" i="3" s="1"/>
  <c r="X17" i="3"/>
  <c r="Y17" i="3" s="1"/>
  <c r="Z17" i="3" s="1"/>
  <c r="X16" i="3"/>
  <c r="Y16" i="3" s="1"/>
  <c r="Z16" i="3" s="1"/>
  <c r="X15" i="3"/>
  <c r="Y15" i="3" s="1"/>
  <c r="Z15" i="3" s="1"/>
  <c r="X14" i="3"/>
  <c r="Y14" i="3" s="1"/>
  <c r="Z14" i="3" s="1"/>
  <c r="X13" i="3"/>
  <c r="Y13" i="3" s="1"/>
  <c r="Z13" i="3" s="1"/>
  <c r="X12" i="3"/>
  <c r="Y12" i="3" s="1"/>
  <c r="Z12" i="3" s="1"/>
  <c r="X11" i="3"/>
  <c r="Y11" i="3" s="1"/>
  <c r="Z11" i="3" s="1"/>
  <c r="X10" i="3"/>
  <c r="Y10" i="3" s="1"/>
  <c r="Z10" i="3" s="1"/>
  <c r="X9" i="3"/>
  <c r="Y9" i="3" s="1"/>
  <c r="Z9" i="3" s="1"/>
  <c r="X8" i="3"/>
  <c r="Y8" i="3" s="1"/>
  <c r="Z8" i="3" s="1"/>
  <c r="X7" i="3"/>
  <c r="Y7" i="3" s="1"/>
  <c r="Z7" i="3" s="1"/>
  <c r="X6" i="3"/>
  <c r="Y6" i="3" s="1"/>
  <c r="Z6" i="3" s="1"/>
  <c r="X5" i="3"/>
  <c r="Y5" i="3" s="1"/>
  <c r="Z5" i="3" s="1"/>
  <c r="X4" i="3"/>
  <c r="Y4" i="3" s="1"/>
  <c r="Z4" i="3" s="1"/>
  <c r="X3" i="3"/>
  <c r="Y3" i="3" s="1"/>
  <c r="Z3" i="3" s="1"/>
  <c r="X2" i="3"/>
  <c r="Y2" i="3" s="1"/>
  <c r="Z2" i="3" s="1"/>
  <c r="C45" i="6"/>
  <c r="C46" i="6" s="1"/>
  <c r="B45" i="6"/>
  <c r="B46" i="6" s="1"/>
  <c r="C44" i="6"/>
  <c r="B44" i="6"/>
  <c r="C40" i="6"/>
  <c r="C9" i="6" s="1"/>
  <c r="C31" i="6"/>
  <c r="B31" i="6"/>
  <c r="C29" i="6"/>
  <c r="B29" i="6"/>
  <c r="C27" i="6"/>
  <c r="B27" i="6"/>
  <c r="C26" i="6"/>
  <c r="B26" i="6"/>
  <c r="C25" i="6"/>
  <c r="B25" i="6"/>
  <c r="C24" i="6"/>
  <c r="B24" i="6"/>
  <c r="C23" i="6"/>
  <c r="B23" i="6"/>
  <c r="C20" i="6"/>
  <c r="B20" i="6"/>
  <c r="C18" i="6"/>
  <c r="B18" i="6"/>
  <c r="C17" i="6"/>
  <c r="B17" i="6"/>
  <c r="C16" i="6"/>
  <c r="B16" i="6"/>
  <c r="C15" i="6"/>
  <c r="B15" i="6"/>
  <c r="C14" i="6"/>
  <c r="B14" i="6"/>
  <c r="C10" i="6"/>
  <c r="C8" i="6"/>
  <c r="C7" i="6"/>
  <c r="C4" i="6"/>
  <c r="B17" i="1"/>
  <c r="C99" i="3" l="1"/>
  <c r="C75" i="3"/>
  <c r="C51" i="3"/>
  <c r="C97" i="3"/>
  <c r="C73" i="3"/>
  <c r="C49" i="3"/>
  <c r="C96" i="3"/>
  <c r="C72" i="3"/>
  <c r="C48" i="3"/>
  <c r="C95" i="3"/>
  <c r="C71" i="3"/>
  <c r="C47" i="3"/>
  <c r="C94" i="3"/>
  <c r="C70" i="3"/>
  <c r="C46" i="3"/>
  <c r="C89" i="3"/>
  <c r="C65" i="3"/>
  <c r="C37" i="3"/>
  <c r="C87" i="3"/>
  <c r="C63" i="3"/>
  <c r="C36" i="3"/>
  <c r="C85" i="3"/>
  <c r="C61" i="3"/>
  <c r="C35" i="3"/>
  <c r="C84" i="3"/>
  <c r="C60" i="3"/>
  <c r="C34" i="3"/>
  <c r="C83" i="3"/>
  <c r="C59" i="3"/>
  <c r="C82" i="3"/>
  <c r="C58" i="3"/>
  <c r="C101" i="3"/>
  <c r="C77" i="3"/>
  <c r="C53" i="3"/>
  <c r="C41" i="3"/>
  <c r="C100" i="3"/>
  <c r="C88" i="3"/>
  <c r="C76" i="3"/>
  <c r="C64" i="3"/>
  <c r="C52" i="3"/>
  <c r="C40" i="3"/>
  <c r="C39" i="3"/>
  <c r="C98" i="3"/>
  <c r="C86" i="3"/>
  <c r="C74" i="3"/>
  <c r="C62" i="3"/>
  <c r="C50" i="3"/>
  <c r="C38" i="3"/>
  <c r="C93" i="3"/>
  <c r="C81" i="3"/>
  <c r="C69" i="3"/>
  <c r="C57" i="3"/>
  <c r="C45" i="3"/>
  <c r="C33" i="3"/>
  <c r="C92" i="3"/>
  <c r="C80" i="3"/>
  <c r="C68" i="3"/>
  <c r="C56" i="3"/>
  <c r="C44" i="3"/>
  <c r="C32" i="3"/>
  <c r="C91" i="3"/>
  <c r="C79" i="3"/>
  <c r="C67" i="3"/>
  <c r="C55" i="3"/>
  <c r="C43" i="3"/>
  <c r="C31" i="3"/>
  <c r="C29" i="3"/>
  <c r="C90" i="3"/>
  <c r="C78" i="3"/>
  <c r="C66" i="3"/>
  <c r="C54" i="3"/>
  <c r="C42" i="3"/>
  <c r="C44" i="1"/>
  <c r="B48" i="1"/>
  <c r="B49" i="1" s="1"/>
  <c r="AA4" i="3"/>
  <c r="AA5" i="3"/>
  <c r="AA16" i="3"/>
  <c r="AA10" i="3"/>
  <c r="AA3" i="3"/>
  <c r="AA9" i="3"/>
  <c r="AA8" i="3"/>
  <c r="AA15" i="3"/>
  <c r="AA14" i="3"/>
  <c r="AA6" i="3"/>
  <c r="AA13" i="3"/>
  <c r="C7" i="3"/>
  <c r="AA12" i="3"/>
  <c r="C33" i="6"/>
  <c r="B51" i="6"/>
  <c r="B40" i="6" s="1"/>
  <c r="B9" i="6" s="1"/>
  <c r="W26" i="3"/>
  <c r="W25" i="3"/>
  <c r="W24" i="3"/>
  <c r="W23" i="3"/>
  <c r="W22" i="3"/>
  <c r="W21" i="3"/>
  <c r="W20" i="3"/>
  <c r="W19" i="3"/>
  <c r="W18" i="3"/>
  <c r="W17" i="3"/>
  <c r="W16" i="3"/>
  <c r="W15" i="3"/>
  <c r="W14" i="3"/>
  <c r="W13" i="3"/>
  <c r="W12" i="3"/>
  <c r="W11" i="3"/>
  <c r="W10" i="3"/>
  <c r="W9" i="3"/>
  <c r="W8" i="3"/>
  <c r="W7" i="3"/>
  <c r="W6" i="3"/>
  <c r="W5" i="3"/>
  <c r="W4" i="3"/>
  <c r="W3" i="3"/>
  <c r="W2" i="3"/>
  <c r="V26" i="3"/>
  <c r="V25" i="3"/>
  <c r="V24" i="3"/>
  <c r="V23" i="3"/>
  <c r="V22" i="3"/>
  <c r="V21" i="3"/>
  <c r="V20" i="3"/>
  <c r="V19" i="3"/>
  <c r="V18" i="3"/>
  <c r="V17" i="3"/>
  <c r="V16" i="3"/>
  <c r="V15" i="3"/>
  <c r="V14" i="3"/>
  <c r="V13" i="3"/>
  <c r="V12" i="3"/>
  <c r="V11" i="3"/>
  <c r="V10" i="3"/>
  <c r="V9" i="3"/>
  <c r="V8" i="3"/>
  <c r="V7" i="3"/>
  <c r="V6" i="3"/>
  <c r="V5" i="3"/>
  <c r="V4" i="3"/>
  <c r="V3" i="3"/>
  <c r="V2" i="3"/>
  <c r="K3" i="3"/>
  <c r="K4" i="3"/>
  <c r="K5" i="3"/>
  <c r="K6" i="3"/>
  <c r="K7" i="3"/>
  <c r="K8" i="3"/>
  <c r="K9" i="3"/>
  <c r="K10" i="3"/>
  <c r="K11" i="3"/>
  <c r="K12" i="3"/>
  <c r="K13" i="3"/>
  <c r="K14" i="3"/>
  <c r="K15" i="3"/>
  <c r="K16" i="3"/>
  <c r="K17" i="3"/>
  <c r="K18" i="3"/>
  <c r="K19" i="3"/>
  <c r="K20" i="3"/>
  <c r="K21" i="3"/>
  <c r="K22" i="3"/>
  <c r="K23" i="3"/>
  <c r="K24" i="3"/>
  <c r="K25" i="3"/>
  <c r="K26" i="3"/>
  <c r="K2" i="3"/>
  <c r="B17" i="5"/>
  <c r="R3" i="3"/>
  <c r="R4" i="3"/>
  <c r="R5" i="3"/>
  <c r="R6" i="3"/>
  <c r="R2" i="3"/>
  <c r="B44" i="1"/>
  <c r="Q26" i="5"/>
  <c r="Q25" i="5"/>
  <c r="Q24" i="5"/>
  <c r="Q23" i="5"/>
  <c r="Q22" i="5"/>
  <c r="Q21" i="5"/>
  <c r="Q20" i="5"/>
  <c r="Q19" i="5"/>
  <c r="R18" i="5"/>
  <c r="Q18" i="5"/>
  <c r="R17" i="5"/>
  <c r="Q17" i="5"/>
  <c r="Q16" i="5"/>
  <c r="Q15" i="5"/>
  <c r="Q14" i="5"/>
  <c r="Q13" i="5"/>
  <c r="Q12" i="5"/>
  <c r="Q11" i="5"/>
  <c r="Q10" i="5"/>
  <c r="Q9" i="5"/>
  <c r="Q8" i="5"/>
  <c r="Q7" i="5"/>
  <c r="Q6" i="5"/>
  <c r="Q5" i="5"/>
  <c r="Q4" i="5"/>
  <c r="R3" i="5"/>
  <c r="Q3" i="5"/>
  <c r="U2" i="5"/>
  <c r="T2" i="5"/>
  <c r="S2" i="5"/>
  <c r="R2" i="5"/>
  <c r="Q2" i="5"/>
  <c r="C36" i="5"/>
  <c r="B36" i="5"/>
  <c r="C34" i="5"/>
  <c r="C35" i="5" s="1"/>
  <c r="B34" i="5"/>
  <c r="B35" i="5" s="1"/>
  <c r="C28" i="5"/>
  <c r="B28" i="5"/>
  <c r="C27" i="5"/>
  <c r="B27" i="5"/>
  <c r="C26" i="5"/>
  <c r="B26" i="5"/>
  <c r="C24" i="5"/>
  <c r="B24" i="5"/>
  <c r="C22" i="5"/>
  <c r="B22" i="5"/>
  <c r="C21" i="5"/>
  <c r="B21" i="5"/>
  <c r="C19" i="5"/>
  <c r="B19" i="5"/>
  <c r="C9" i="5"/>
  <c r="B9" i="5"/>
  <c r="C8" i="5"/>
  <c r="B8" i="5"/>
  <c r="D6" i="5"/>
  <c r="D3" i="5"/>
  <c r="C3" i="5"/>
  <c r="B3" i="5"/>
  <c r="I2" i="3"/>
  <c r="B42" i="1" s="1"/>
  <c r="B27" i="1" s="1"/>
  <c r="B36" i="1"/>
  <c r="AC23" i="3" l="1"/>
  <c r="AC19" i="3"/>
  <c r="AC7" i="3"/>
  <c r="AC27" i="3"/>
  <c r="AC26" i="3"/>
  <c r="AC28" i="3"/>
  <c r="AC17" i="3"/>
  <c r="AC24" i="3"/>
  <c r="AC22" i="3"/>
  <c r="AC18" i="3"/>
  <c r="AC25" i="3"/>
  <c r="B6" i="1"/>
  <c r="B5" i="1"/>
  <c r="AC2" i="3"/>
  <c r="AC20" i="3"/>
  <c r="AC21" i="3"/>
  <c r="C5" i="3"/>
  <c r="C4" i="3"/>
  <c r="C12" i="3"/>
  <c r="C13" i="3"/>
  <c r="C42" i="1"/>
  <c r="C27" i="1" s="1"/>
  <c r="C35" i="1"/>
  <c r="C6" i="3"/>
  <c r="C16" i="3"/>
  <c r="C14" i="3"/>
  <c r="C15" i="3"/>
  <c r="AC11" i="3"/>
  <c r="C3" i="3"/>
  <c r="C10" i="3"/>
  <c r="C8" i="3"/>
  <c r="C43" i="1"/>
  <c r="C9" i="3"/>
  <c r="B49" i="6"/>
  <c r="B50" i="6"/>
  <c r="B39" i="6" s="1"/>
  <c r="B7" i="6" s="1"/>
  <c r="B35" i="1"/>
  <c r="B43" i="6"/>
  <c r="C43" i="6"/>
  <c r="B43" i="1"/>
  <c r="B10" i="6"/>
  <c r="B41" i="1"/>
  <c r="B37" i="1"/>
  <c r="B38" i="1" s="1"/>
  <c r="B37" i="5"/>
  <c r="C37" i="5"/>
  <c r="B12" i="5"/>
  <c r="C12" i="5"/>
  <c r="B46" i="1" l="1"/>
  <c r="B47" i="1" s="1"/>
  <c r="AC4" i="3"/>
  <c r="AC8" i="3"/>
  <c r="AC5" i="3"/>
  <c r="AC15" i="3"/>
  <c r="AC3" i="3"/>
  <c r="C34" i="1"/>
  <c r="C39" i="1" s="1"/>
  <c r="AC9" i="3"/>
  <c r="C46" i="1"/>
  <c r="C47" i="1" s="1"/>
  <c r="AC16" i="3"/>
  <c r="AC14" i="3"/>
  <c r="AC13" i="3"/>
  <c r="C42" i="6"/>
  <c r="C47" i="6" s="1"/>
  <c r="AC6" i="3"/>
  <c r="B42" i="6"/>
  <c r="B47" i="6" s="1"/>
  <c r="C41" i="1"/>
  <c r="C5" i="1"/>
  <c r="C6" i="1"/>
  <c r="B34" i="1"/>
  <c r="B39" i="1" s="1"/>
  <c r="AC10" i="3"/>
  <c r="AC12" i="3"/>
  <c r="B8" i="6"/>
  <c r="G3" i="3"/>
  <c r="G39" i="3"/>
  <c r="G27" i="3"/>
  <c r="G15" i="3"/>
  <c r="G38" i="3"/>
  <c r="G26" i="3"/>
  <c r="G14" i="3"/>
  <c r="G37" i="3"/>
  <c r="G25" i="3"/>
  <c r="G13" i="3"/>
  <c r="G36" i="3"/>
  <c r="G24" i="3"/>
  <c r="G12" i="3"/>
  <c r="G47" i="3"/>
  <c r="G11" i="3"/>
  <c r="G46" i="3"/>
  <c r="G34" i="3"/>
  <c r="G22" i="3"/>
  <c r="G10" i="3"/>
  <c r="G23" i="3"/>
  <c r="G44" i="3"/>
  <c r="G32" i="3"/>
  <c r="G20" i="3"/>
  <c r="G8" i="3"/>
  <c r="G45" i="3"/>
  <c r="G43" i="3"/>
  <c r="G31" i="3"/>
  <c r="G19" i="3"/>
  <c r="G7" i="3"/>
  <c r="G33" i="3"/>
  <c r="G42" i="3"/>
  <c r="G30" i="3"/>
  <c r="G18" i="3"/>
  <c r="G6" i="3"/>
  <c r="G9" i="3"/>
  <c r="G41" i="3"/>
  <c r="G29" i="3"/>
  <c r="G17" i="3"/>
  <c r="G5" i="3"/>
  <c r="G35" i="3"/>
  <c r="G21" i="3"/>
  <c r="G40" i="3"/>
  <c r="G28" i="3"/>
  <c r="G16" i="3"/>
  <c r="G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Flore Verbist</author>
    <author>tc={3F37BF6C-0C3B-4E1D-839D-263CC413F5E9}</author>
    <author>tc={46949B3D-F599-46AC-B60C-D3AD6DD17289}</author>
  </authors>
  <commentList>
    <comment ref="B8" authorId="0" shapeId="0" xr:uid="{7ABBDABC-4D97-42AB-8A17-AE14AFDE5FAC}">
      <text>
        <r>
          <rPr>
            <b/>
            <sz val="9"/>
            <color indexed="81"/>
            <rFont val="Tahoma"/>
            <family val="2"/>
          </rPr>
          <t xml:space="preserve">Flore Verbist: 
2/3th of the total capital costs
</t>
        </r>
      </text>
    </comment>
    <comment ref="B41" authorId="1" shapeId="0" xr:uid="{3F37BF6C-0C3B-4E1D-839D-263CC413F5E9}">
      <text>
        <t>[Threaded comment]
Your version of Excel allows you to read this threaded comment; however, any edits to it will get removed if the file is opened in a newer version of Excel. Learn more: https://go.microsoft.com/fwlink/?linkid=870924
Comment:
    Should in principle be something like 550 euro/ton product. However, variable costs like iron ore/scrap inputs are half of these costs and are not taken into account  (see page 37: https://www.europarl.europa.eu/RegData/etudes/STUD/2021/690008/EPRS_STU(2021)690008_EN.pdf)</t>
      </text>
    </comment>
    <comment ref="C41" authorId="2" shapeId="0" xr:uid="{46949B3D-F599-46AC-B60C-D3AD6DD17289}">
      <text>
        <t>[Threaded comment]
Your version of Excel allows you to read this threaded comment; however, any edits to it will get removed if the file is opened in a newer version of Excel. Learn more: https://go.microsoft.com/fwlink/?linkid=870924
Comment:
    Should in principle be something like 550 euro/ton product. However, variable costs like iron ore/scrap inputs are half of these costs and are not taken into account  (see page 37: https://www.europarl.europa.eu/RegData/etudes/STUD/2021/690008/EPRS_STU(2021)690008_EN.pdf)</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Flore Verbist</author>
  </authors>
  <commentList>
    <comment ref="C1" authorId="0" shapeId="0" xr:uid="{B034FBDA-DF7A-40CA-90E5-C94FAA763922}">
      <text>
        <r>
          <rPr>
            <b/>
            <sz val="9"/>
            <color indexed="81"/>
            <rFont val="Tahoma"/>
            <family val="2"/>
          </rPr>
          <t>Flore Verbist:</t>
        </r>
        <r>
          <rPr>
            <sz val="9"/>
            <color indexed="81"/>
            <rFont val="Tahoma"/>
            <family val="2"/>
          </rPr>
          <t xml:space="preserve">
European Commission. (2019). Quarterly Report on European Electricity Markets Q4 2018. https://ec.europa.eu/energy/sites/default/files/documents/quarterly_report_on_european_electricity_markets_q4_2018.pdf difference retail and wholesale
</t>
        </r>
      </text>
    </comment>
    <comment ref="K1" authorId="0" shapeId="0" xr:uid="{5D9C0A69-1815-40CA-8BDD-6D786A142595}">
      <text>
        <r>
          <rPr>
            <b/>
            <sz val="9"/>
            <color indexed="81"/>
            <rFont val="Tahoma"/>
            <family val="2"/>
          </rPr>
          <t xml:space="preserve">Flore Verbist
Costs today are higher than the future, because it takes into account that  what we do today will avoid future damages, nevertheless, maybe in this formulation still something goes wrong
</t>
        </r>
      </text>
    </comment>
    <comment ref="X1" authorId="0" shapeId="0" xr:uid="{14982A3E-0151-4289-BC1D-BEDECA2D7A98}">
      <text>
        <r>
          <rPr>
            <b/>
            <sz val="9"/>
            <color indexed="81"/>
            <rFont val="Tahoma"/>
            <family val="2"/>
          </rPr>
          <t>Flore Verbist:</t>
        </r>
        <r>
          <rPr>
            <sz val="9"/>
            <color indexed="81"/>
            <rFont val="Tahoma"/>
            <family val="2"/>
          </rPr>
          <t xml:space="preserve">
European Commission. (2019). Quarterly Report on European Electricity Markets Q4 2018. https://ec.europa.eu/energy/sites/default/files/documents/quarterly_report_on_european_electricity_markets_q4_2018.pdf difference retail and wholesale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Flore Verbist</author>
    <author>tc={D68DEE75-00E7-4792-A0D5-FD8D0DD8A1E9}</author>
    <author>tc={9F7348A5-D07D-4A50-95B0-95EDD872BEB2}</author>
  </authors>
  <commentList>
    <comment ref="B14" authorId="0" shapeId="0" xr:uid="{A0242694-87CA-4F52-B856-B841AADB5AC7}">
      <text>
        <r>
          <rPr>
            <b/>
            <sz val="9"/>
            <color indexed="81"/>
            <rFont val="Tahoma"/>
            <family val="2"/>
          </rPr>
          <t xml:space="preserve">Flore Verbist: 
2/3th of the total capital costs
</t>
        </r>
      </text>
    </comment>
    <comment ref="B15" authorId="1" shapeId="0" xr:uid="{D68DEE75-00E7-4792-A0D5-FD8D0DD8A1E9}">
      <text>
        <t>[Threaded comment]
Your version of Excel allows you to read this threaded comment; however, any edits to it will get removed if the file is opened in a newer version of Excel. Learn more: https://go.microsoft.com/fwlink/?linkid=870924
Comment:
    Multiplied with 0.11 which forms the mass fraction kerosene of 1 tonne of crude oil
Reply:
    NO not anymore, because this is already scaled per tonne CO2 captured, if you multiply with the amount of CO2 released per kerosone tonne, its ok</t>
      </text>
    </comment>
    <comment ref="A24" authorId="0" shapeId="0" xr:uid="{BA2189ED-9E2A-427B-A805-69A60D050CFA}">
      <text>
        <r>
          <rPr>
            <b/>
            <sz val="9"/>
            <color indexed="81"/>
            <rFont val="Tahoma"/>
            <family val="2"/>
          </rPr>
          <t>Flore Verbist:</t>
        </r>
        <r>
          <rPr>
            <sz val="9"/>
            <color indexed="81"/>
            <rFont val="Tahoma"/>
            <family val="2"/>
          </rPr>
          <t xml:space="preserve">
Depends a bit on the carbon conversion ratio, fuel production efficiency maybe
= checked, corresponds to Phi_CCU</t>
        </r>
      </text>
    </comment>
    <comment ref="B49" authorId="2" shapeId="0" xr:uid="{9F7348A5-D07D-4A50-95B0-95EDD872BEB2}">
      <text>
        <t>[Threaded comment]
Your version of Excel allows you to read this threaded comment; however, any edits to it will get removed if the file is opened in a newer version of Excel. Learn more: https://go.microsoft.com/fwlink/?linkid=870924
Comment:
    Should in principle be something like 550 euro/ton product. However, variable costs like iron ore/scrap inputs are half of these costs and are not taken into account  (see page 37: https://www.europarl.europa.eu/RegData/etudes/STUD/2021/690008/EPRS_STU(2021)690008_EN.pdf)</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Flore Verbist</author>
  </authors>
  <commentList>
    <comment ref="A26" authorId="0" shapeId="0" xr:uid="{66039EAB-8DEB-4997-AA59-C19945DEB0CB}">
      <text>
        <r>
          <rPr>
            <b/>
            <sz val="9"/>
            <color indexed="81"/>
            <rFont val="Tahoma"/>
            <family val="2"/>
          </rPr>
          <t>Flore Verbist:</t>
        </r>
        <r>
          <rPr>
            <sz val="9"/>
            <color indexed="81"/>
            <rFont val="Tahoma"/>
            <family val="2"/>
          </rPr>
          <t xml:space="preserve">
Should also include hydrogen production, double check! 
</t>
        </r>
      </text>
    </comment>
  </commentList>
</comments>
</file>

<file path=xl/sharedStrings.xml><?xml version="1.0" encoding="utf-8"?>
<sst xmlns="http://schemas.openxmlformats.org/spreadsheetml/2006/main" count="738" uniqueCount="347">
  <si>
    <t>Parameter_name</t>
  </si>
  <si>
    <t>UF_max</t>
  </si>
  <si>
    <t>Quantity_max</t>
  </si>
  <si>
    <t>UF_DF_ratio</t>
  </si>
  <si>
    <t>Investement_period_days</t>
  </si>
  <si>
    <t>Unit</t>
  </si>
  <si>
    <t>-</t>
  </si>
  <si>
    <t>days</t>
  </si>
  <si>
    <t>yrs</t>
  </si>
  <si>
    <t>Value</t>
  </si>
  <si>
    <t>DF_max</t>
  </si>
  <si>
    <t>production units (p.u.)</t>
  </si>
  <si>
    <t>Max_production_UF</t>
  </si>
  <si>
    <t>Max_production_DF</t>
  </si>
  <si>
    <t>€/kWh</t>
  </si>
  <si>
    <t>CAPEX_green_UF</t>
  </si>
  <si>
    <t>CAPEX_CCU</t>
  </si>
  <si>
    <t>€/p.u.</t>
  </si>
  <si>
    <t>Description</t>
  </si>
  <si>
    <t>€/tco2</t>
  </si>
  <si>
    <t>Cost of storage</t>
  </si>
  <si>
    <t>Cost of RES installation</t>
  </si>
  <si>
    <t xml:space="preserve">Cost of carbon capture installation </t>
  </si>
  <si>
    <t>Max production capacity of downstream firm</t>
  </si>
  <si>
    <t>Max production capacity of upstream firm</t>
  </si>
  <si>
    <t>Ratio of upstream firms compaired to number of downstream firms</t>
  </si>
  <si>
    <t>C_T</t>
  </si>
  <si>
    <t>Cost of transport</t>
  </si>
  <si>
    <t>Cost of carbon credit</t>
  </si>
  <si>
    <t>C_ELEC</t>
  </si>
  <si>
    <t>Cost of electricity</t>
  </si>
  <si>
    <t>E_green</t>
  </si>
  <si>
    <t>kWh/p.u.</t>
  </si>
  <si>
    <t>Energy consumption to produce 1 product of UF with electric installation</t>
  </si>
  <si>
    <t>kWh/tco2</t>
  </si>
  <si>
    <t xml:space="preserve">Energy consumption to capture 1 tCO2 of UF with capture installation </t>
  </si>
  <si>
    <t>E_PF</t>
  </si>
  <si>
    <t xml:space="preserve">Energy consumption to purify and process 1 tCO2 of DF with CCU installation </t>
  </si>
  <si>
    <t>C_CONV</t>
  </si>
  <si>
    <t>P_UF</t>
  </si>
  <si>
    <t>Revenue of selling 1 product unit of UF</t>
  </si>
  <si>
    <t>P_DF</t>
  </si>
  <si>
    <t>Revenue of selling 1 product unit of DF</t>
  </si>
  <si>
    <t>Amount of fuel needed per product produced by DF (energy + final product related)</t>
  </si>
  <si>
    <t>tco2/p.u.</t>
  </si>
  <si>
    <t xml:space="preserve">Conventional CO2 emissions of upstream firm </t>
  </si>
  <si>
    <t>Chi_CONV_UF</t>
  </si>
  <si>
    <t>Chi_CONV_DF</t>
  </si>
  <si>
    <t xml:space="preserve">Conventional CO2 emissions of downstream firm </t>
  </si>
  <si>
    <t>Chi_CCU_DF</t>
  </si>
  <si>
    <t xml:space="preserve">Residual emissions from CCU process of downstream firm </t>
  </si>
  <si>
    <t>Alpha_CC_UF</t>
  </si>
  <si>
    <t>fraction</t>
  </si>
  <si>
    <t>Fraction of residual emissions after capturing by upstream firm</t>
  </si>
  <si>
    <t>Investement_period_year</t>
  </si>
  <si>
    <t>CAPEX_CC_UF</t>
  </si>
  <si>
    <t>Variable_name</t>
  </si>
  <si>
    <t>Min</t>
  </si>
  <si>
    <t xml:space="preserve">Max </t>
  </si>
  <si>
    <t>p.u.</t>
  </si>
  <si>
    <t>Production quantity upstream with conventional installation</t>
  </si>
  <si>
    <t xml:space="preserve">Production quantity downstream fim with CCU installation </t>
  </si>
  <si>
    <t xml:space="preserve">Production quantity downstream firm with conventional installation </t>
  </si>
  <si>
    <t>Production quantity upstream firm with CC installation</t>
  </si>
  <si>
    <t>Production quantity upstream firm with green installation</t>
  </si>
  <si>
    <t>q_CC_UF</t>
  </si>
  <si>
    <t>q_CCU_UF</t>
  </si>
  <si>
    <t>q_GREEN_UF</t>
  </si>
  <si>
    <t>q_CONV_UF</t>
  </si>
  <si>
    <t>q_CCU_DF</t>
  </si>
  <si>
    <t>q_CONV_DF</t>
  </si>
  <si>
    <t>Production quantity upstream firm with capture installation directed to utilisation</t>
  </si>
  <si>
    <t>Production quantity upstream firm with capture installation directed to storage</t>
  </si>
  <si>
    <t>Source</t>
  </si>
  <si>
    <t>Raw number</t>
  </si>
  <si>
    <t>E_CC calculated for 90% capture efficiency</t>
  </si>
  <si>
    <t>6 kj/mol CO2 (coal plant)</t>
  </si>
  <si>
    <t>p. 26: https://link.springer.com/book/10.1007/978-1-4614-2215-0</t>
  </si>
  <si>
    <t>https://ec.europa.eu/eurostat/statistics-explained/index.php?title=Electricity_price_statistics#:~:text=For%20household%20consumers%20in%20the,per%20kWh)%20and%20Italy%20(%E2%82%AC</t>
  </si>
  <si>
    <t xml:space="preserve">European Electricity price first half 2022 (for household consumers) </t>
  </si>
  <si>
    <t>production units (p.u. = ton of product)</t>
  </si>
  <si>
    <t>https://doi.org/10.1007/s40831-022-00585-x</t>
  </si>
  <si>
    <t>2.1 kg CO2eq/kg HRC (hot rolled coil)</t>
  </si>
  <si>
    <t>https://doi.org/10.1021/acs.est.7b01723</t>
  </si>
  <si>
    <t>p. 26: https://www.oecd.org/officialdocuments/publicdisplaydocumentpdf/?cote=DSTI/SC(2022)11/FINAL&amp;docLanguage=en</t>
  </si>
  <si>
    <t>Between 5-7 US$/tCO2 for iron and steel industry , 10 according to ZEP</t>
  </si>
  <si>
    <t>https://doi.org/10.1021/acs.est.7b01723  https://zeroemissionsplatform.eu/co2-storage-cost/</t>
  </si>
  <si>
    <t>https://zeroemissionsplatform.eu/co2-storage-cost/</t>
  </si>
  <si>
    <t> storing CO2 in offshore storage reservoirs is expected to lie in the range € 2 – 20 /tonne</t>
  </si>
  <si>
    <t>This means that for the 150 ton batch considered above, a steel producer can expect to need around 75,000 KWh of electricity. </t>
  </si>
  <si>
    <t>https://www.frcglobal.com/blog/the-costs-of-producing-steel-with-electric-arc-furnaces</t>
  </si>
  <si>
    <t>https://corporate.arcelormittal.com/media/xm4blr5z/annual-report-combined-2021.pdf</t>
  </si>
  <si>
    <t>ArcelorMittal Belgium will reduce carbon emissions by 3.9 million tonnes per year by 2030, by building a 2.5 million-tonnes DRI plant and EAF facility at its Ghent site. T</t>
  </si>
  <si>
    <t>Now still per day calculated</t>
  </si>
  <si>
    <t>https://www.steelonthenet.com/capital-investment/eaf.html</t>
  </si>
  <si>
    <t xml:space="preserve">300 dollars per tonne of capacity </t>
  </si>
  <si>
    <t>Cost of CO2 process + purification installation for the downstream company</t>
  </si>
  <si>
    <t>https://theicct.org/publication/fuels-us-eu-cost-ekerosene-mar22/</t>
  </si>
  <si>
    <t>Production cost of 2020 US dolar/MJ kerosone = 0.01</t>
  </si>
  <si>
    <t>https://transportgeography.org/contents/chapter4/transportation-and-energy/combustibles-energy-content/</t>
  </si>
  <si>
    <t xml:space="preserve">graph </t>
  </si>
  <si>
    <t>When also introducing a parameter for the emissions after usage: https://www.offsetguide.org/understanding-carbon-offsets/air-travel-climate/climate-impacts-from-aviation/co2-emissions/</t>
  </si>
  <si>
    <r>
      <t> 3.16 kg CO</t>
    </r>
    <r>
      <rPr>
        <sz val="6"/>
        <color rgb="FF434343"/>
        <rFont val="Arial"/>
        <family val="2"/>
      </rPr>
      <t>2</t>
    </r>
    <r>
      <rPr>
        <sz val="8"/>
        <color rgb="FF434343"/>
        <rFont val="Arial"/>
        <family val="2"/>
      </rPr>
      <t> are emitted per kilogram of jet fuel combusted </t>
    </r>
  </si>
  <si>
    <t>https://www.globalpetrolprices.com/kerosene_prices/</t>
  </si>
  <si>
    <t>graph belgium</t>
  </si>
  <si>
    <t>https://www.osti.gov/servlets/purl/1798305</t>
  </si>
  <si>
    <t>Table 1</t>
  </si>
  <si>
    <t>Table 3.</t>
  </si>
  <si>
    <t>q_CCS_UF</t>
  </si>
  <si>
    <t>q_CC_UF_max</t>
  </si>
  <si>
    <t>q_GREEN_UF_max</t>
  </si>
  <si>
    <t>q_CCU_DF_max</t>
  </si>
  <si>
    <t>Q_MAX_UF</t>
  </si>
  <si>
    <t>Q_MAX_DF</t>
  </si>
  <si>
    <t>p.u. (ton)</t>
  </si>
  <si>
    <t xml:space="preserve">Maximum production capacity upstream firm with green installation </t>
  </si>
  <si>
    <t xml:space="preserve">Maximum production capacity downstream firm with conventional installation </t>
  </si>
  <si>
    <t xml:space="preserve">Maximum production capacity upstream firm with capture installation </t>
  </si>
  <si>
    <t>Number of upstream firms (SET)</t>
  </si>
  <si>
    <t>Number of downstream firms (SET)</t>
  </si>
  <si>
    <t>Years of the investment period (SET)</t>
  </si>
  <si>
    <t>Days in the total investment period (SET)</t>
  </si>
  <si>
    <t>Phi_CCU</t>
  </si>
  <si>
    <t>Amount of CO2 needed to produce 1 p.u. of product</t>
  </si>
  <si>
    <t>E_CONV_UF</t>
  </si>
  <si>
    <t>Energy consumption to produce 1 product of UF with conventional installation</t>
  </si>
  <si>
    <t>Basic oxygen furnace: 4,4  times more energy required compared to electric arc furnace</t>
  </si>
  <si>
    <t>http://large.stanford.edu/courses/2016/ph240/martelaro1/</t>
  </si>
  <si>
    <t>E_CONV_DF</t>
  </si>
  <si>
    <t>Cost of fuel  (for both UF and DF in this case)</t>
  </si>
  <si>
    <t>Year</t>
  </si>
  <si>
    <t>Electricity cost [€/kWh]</t>
  </si>
  <si>
    <t>Carbon credit price [€/tCO2]</t>
  </si>
  <si>
    <t>Kerosene [€/MWh]</t>
  </si>
  <si>
    <t>Carbon credit price UK [€/tCO2]</t>
  </si>
  <si>
    <t>Kerosene [€/kWh]</t>
  </si>
  <si>
    <t>https://doi.org/10.1016/j.fuel.2022.127074, https://pubs.acs.org/doi/10.1021/acs.iecr.8b02574</t>
  </si>
  <si>
    <t>1248 CAPEX ($/kgCO2/h)</t>
  </si>
  <si>
    <t>Original value</t>
  </si>
  <si>
    <t>a_UF</t>
  </si>
  <si>
    <t>b_UF</t>
  </si>
  <si>
    <t>a_DF</t>
  </si>
  <si>
    <t>Intercept of the demand curve of upstream firm</t>
  </si>
  <si>
    <t xml:space="preserve">Slope of the demand curve for downstream firm </t>
  </si>
  <si>
    <t>Intercept of the demand curve of downstream firm</t>
  </si>
  <si>
    <t xml:space="preserve">Slope of the demand curve for upstream firm </t>
  </si>
  <si>
    <t>b_DF</t>
  </si>
  <si>
    <t>CAPEX_CONV_UF</t>
  </si>
  <si>
    <t>CAPEX_CONV_DF</t>
  </si>
  <si>
    <t>Max_production_factor_UF</t>
  </si>
  <si>
    <t>Max_production_factor_DF</t>
  </si>
  <si>
    <t>Lifetime_UF</t>
  </si>
  <si>
    <t>Lifetime_DF</t>
  </si>
  <si>
    <t>Salvage_UF</t>
  </si>
  <si>
    <t>Salvage_DF</t>
  </si>
  <si>
    <t>Linear depreciation</t>
  </si>
  <si>
    <t>Coal [€/MWh]</t>
  </si>
  <si>
    <t>Coal [€/kWh]</t>
  </si>
  <si>
    <t>Crude oil [€/kWh]</t>
  </si>
  <si>
    <t>Crude oil [€/MWh]</t>
  </si>
  <si>
    <t>Carbon intensity electricity [tCO2e/kWh]</t>
  </si>
  <si>
    <t>Lower_bound_CO2_price</t>
  </si>
  <si>
    <t>Upper_bound_CO2_price</t>
  </si>
  <si>
    <t>Max_conv_DF_price</t>
  </si>
  <si>
    <t>Max_ETS_price</t>
  </si>
  <si>
    <t>€/tCO2</t>
  </si>
  <si>
    <t>Carbon credit price original [€/tCO2]</t>
  </si>
  <si>
    <t>Max_ELEC_price</t>
  </si>
  <si>
    <t>Min_ETS_price</t>
  </si>
  <si>
    <t>Optimal_UF</t>
  </si>
  <si>
    <t>Optimal_DF</t>
  </si>
  <si>
    <t>BAU_UF</t>
  </si>
  <si>
    <t>BAU_DF</t>
  </si>
  <si>
    <t>x1</t>
  </si>
  <si>
    <t>Table 3. (also flow rate of hydrogen en energy requirement of 40 kWh/kg</t>
  </si>
  <si>
    <t>CAPEX_CC_DF</t>
  </si>
  <si>
    <t>C_S</t>
  </si>
  <si>
    <t>E_CC_UF</t>
  </si>
  <si>
    <t>E_CC_DF</t>
  </si>
  <si>
    <t>Alpha_CC_DF</t>
  </si>
  <si>
    <t>Fraction of residual emissions after capturing by downstream firm</t>
  </si>
  <si>
    <t>True social cost of carbon [€/tCO2]</t>
  </si>
  <si>
    <t>Index</t>
  </si>
  <si>
    <t>ETS_I_II_conversion</t>
  </si>
  <si>
    <t>Raw number/Explanation</t>
  </si>
  <si>
    <t>https://www.oecd.org/officialdocuments/publicdisplaydocumentpdf/?cote=DSTI/SC(2022)11/FINAL&amp;docLanguage=en</t>
  </si>
  <si>
    <t xml:space="preserve">p. 26: </t>
  </si>
  <si>
    <t>graph belgium, 1 L kerosene = 0.817 kg</t>
  </si>
  <si>
    <t>https://doi.org/10.1016/j.enconman.2012.09.026</t>
  </si>
  <si>
    <t>Table 7: Averages of 2 refineries and different processes</t>
  </si>
  <si>
    <t>Average of Table 7 for 2 refineries</t>
  </si>
  <si>
    <t>https://doi.org/10.1007/978-3-030-86884-0</t>
  </si>
  <si>
    <t xml:space="preserve">Slope of the demand curve for upstream industry </t>
  </si>
  <si>
    <t>https://doi.org/10.1016/j.jcou.2021.101459</t>
  </si>
  <si>
    <t>Investment cost typically 700 dollars/ton</t>
  </si>
  <si>
    <t>https://www.jstor.org/stable/pdf/resrep15596.9.pdf</t>
  </si>
  <si>
    <t>€/tco2 used pa</t>
  </si>
  <si>
    <t>€/tco2 captured pa</t>
  </si>
  <si>
    <t>tpa (ton produced per annum)</t>
  </si>
  <si>
    <t>€/tpa</t>
  </si>
  <si>
    <t>Table 3 (production process with basic oxygen furnace)</t>
  </si>
  <si>
    <t>kWh/ton</t>
  </si>
  <si>
    <t>Price cap of 45 euros might be removed in 2030, assumption to have a price of 45 by 2030,  relative to ETS</t>
  </si>
  <si>
    <t>https://doi.org/10.1016/j.fuel.2022.127074</t>
  </si>
  <si>
    <t>Average of table 1: Blast furnace - oxygen furnace</t>
  </si>
  <si>
    <t>Table 4</t>
  </si>
  <si>
    <t>Graph energy density of crude oil</t>
  </si>
  <si>
    <t>Table 3: average CO2 needed that processes both Naphtha, jet fuel and diesel</t>
  </si>
  <si>
    <t>tco2/ton</t>
  </si>
  <si>
    <t>https://doi.org/10.1016/j.jcou.2021.101459, https://www.umweltbundesamt.de/sites/default/files/medien/377/publikationen/161005_uba_hintergrund_ptl_barrierrefrei.pdf</t>
  </si>
  <si>
    <t>Max_price_UF_factor</t>
  </si>
  <si>
    <t>€/ton</t>
  </si>
  <si>
    <r>
      <t>€/ton</t>
    </r>
    <r>
      <rPr>
        <vertAlign val="superscript"/>
        <sz val="11"/>
        <color theme="1"/>
        <rFont val="Calibri"/>
        <family val="2"/>
        <scheme val="minor"/>
      </rPr>
      <t>2</t>
    </r>
  </si>
  <si>
    <t>Residual emissions from CCU process of downstream firm are nihil</t>
  </si>
  <si>
    <t xml:space="preserve">Amount of CO2 emitted after combustion of jet fuel </t>
  </si>
  <si>
    <t>https://www.offsetguide.org/understanding-carbon-offsets/air-travel-climate/climate-impacts-from-aviation/co2-emissions/</t>
  </si>
  <si>
    <t>Conversion factor between carbon credit of ETS and ETS II</t>
  </si>
  <si>
    <t xml:space="preserve">Fraction of the max possible production investements compared to the initial production capacity of downstream industry </t>
  </si>
  <si>
    <t xml:space="preserve">Fraction of the max possible production investements compared to the initial capacity of upstream industry </t>
  </si>
  <si>
    <t>https://www.europarl.europa.eu/RegData/etudes/BRIE/2022/698890/EPRS_BRI(2022)698890_EN.pdf</t>
  </si>
  <si>
    <t>Max_price_DF_factor</t>
  </si>
  <si>
    <t>Downstream residual emission fraction after capture send to the atmosphere</t>
  </si>
  <si>
    <t>Upstream residual emission fraction after capture send to the atmosphere</t>
  </si>
  <si>
    <r>
      <t>CO</t>
    </r>
    <r>
      <rPr>
        <sz val="6"/>
        <color theme="1"/>
        <rFont val="Arial"/>
        <family val="2"/>
      </rPr>
      <t xml:space="preserve">2 </t>
    </r>
    <r>
      <rPr>
        <sz val="8"/>
        <color theme="1"/>
        <rFont val="Arial"/>
        <family val="2"/>
      </rPr>
      <t>emitted by the conventional process to produce 1 ton of downstream product</t>
    </r>
  </si>
  <si>
    <r>
      <t>CO</t>
    </r>
    <r>
      <rPr>
        <sz val="6"/>
        <color theme="1"/>
        <rFont val="Arial"/>
        <family val="2"/>
      </rPr>
      <t xml:space="preserve">2 </t>
    </r>
    <r>
      <rPr>
        <sz val="8"/>
        <color theme="1"/>
        <rFont val="Arial"/>
        <family val="2"/>
      </rPr>
      <t>emitted by the conventional process to produce 1 ton of upstream product</t>
    </r>
  </si>
  <si>
    <t>Intercept of demand curve for upstream product</t>
  </si>
  <si>
    <t>Intercept of demand curve for downstream product</t>
  </si>
  <si>
    <t>Slope of demand curve for downstream product</t>
  </si>
  <si>
    <r>
      <t>CAPEX of carbon capture installation for downstream industry per ton CO</t>
    </r>
    <r>
      <rPr>
        <sz val="6"/>
        <color theme="1"/>
        <rFont val="Arial"/>
        <family val="2"/>
      </rPr>
      <t xml:space="preserve">2 </t>
    </r>
    <r>
      <rPr>
        <sz val="8"/>
        <color theme="1"/>
        <rFont val="Arial"/>
        <family val="2"/>
      </rPr>
      <t xml:space="preserve">captured </t>
    </r>
  </si>
  <si>
    <r>
      <t>CAPEX of carbon capture installation for upstream industry per ton CO</t>
    </r>
    <r>
      <rPr>
        <sz val="6"/>
        <color theme="1"/>
        <rFont val="Arial"/>
        <family val="2"/>
      </rPr>
      <t xml:space="preserve">2 </t>
    </r>
    <r>
      <rPr>
        <sz val="8"/>
        <color theme="1"/>
        <rFont val="Arial"/>
        <family val="2"/>
      </rPr>
      <t xml:space="preserve">captured </t>
    </r>
  </si>
  <si>
    <t>CAPEX of conventional installation for downstream industry per ton production</t>
  </si>
  <si>
    <t>CAPEX of conventional installation for upstream industry per ton production</t>
  </si>
  <si>
    <r>
      <t>CAPEX of carbon utilisation installation for downstream industry per ton CO</t>
    </r>
    <r>
      <rPr>
        <sz val="6"/>
        <color theme="1"/>
        <rFont val="Arial"/>
        <family val="2"/>
      </rPr>
      <t xml:space="preserve">2 </t>
    </r>
    <r>
      <rPr>
        <sz val="8"/>
        <color theme="1"/>
        <rFont val="Arial"/>
        <family val="2"/>
      </rPr>
      <t>utilised</t>
    </r>
  </si>
  <si>
    <r>
      <t>Cost of CO</t>
    </r>
    <r>
      <rPr>
        <sz val="6"/>
        <color theme="1"/>
        <rFont val="Arial"/>
        <family val="2"/>
      </rPr>
      <t xml:space="preserve">2 </t>
    </r>
    <r>
      <rPr>
        <sz val="8"/>
        <color theme="1"/>
        <rFont val="Arial"/>
        <family val="2"/>
      </rPr>
      <t>storage</t>
    </r>
  </si>
  <si>
    <r>
      <t>Cost of CO</t>
    </r>
    <r>
      <rPr>
        <sz val="6"/>
        <color theme="1"/>
        <rFont val="Arial"/>
        <family val="2"/>
      </rPr>
      <t xml:space="preserve">2 </t>
    </r>
    <r>
      <rPr>
        <sz val="8"/>
        <color theme="1"/>
        <rFont val="Arial"/>
        <family val="2"/>
      </rPr>
      <t>transport</t>
    </r>
  </si>
  <si>
    <r>
      <t>Electricity consumption to capture 1 ton of CO</t>
    </r>
    <r>
      <rPr>
        <sz val="6"/>
        <color theme="1"/>
        <rFont val="Arial"/>
        <family val="2"/>
      </rPr>
      <t xml:space="preserve">2 </t>
    </r>
    <r>
      <rPr>
        <sz val="8"/>
        <color theme="1"/>
        <rFont val="Arial"/>
        <family val="2"/>
      </rPr>
      <t xml:space="preserve">by downstream industry </t>
    </r>
  </si>
  <si>
    <r>
      <t>Electricity consumption to capture 1 ton of CO</t>
    </r>
    <r>
      <rPr>
        <sz val="6"/>
        <color theme="1"/>
        <rFont val="Arial"/>
        <family val="2"/>
      </rPr>
      <t xml:space="preserve">2 </t>
    </r>
    <r>
      <rPr>
        <sz val="8"/>
        <color theme="1"/>
        <rFont val="Arial"/>
        <family val="2"/>
      </rPr>
      <t xml:space="preserve">by upstream industry </t>
    </r>
  </si>
  <si>
    <t xml:space="preserve">Fossil fuel consumption to produce 1 ton of downstream product with conventional installation </t>
  </si>
  <si>
    <t xml:space="preserve">Fossil fuel consumption to produce 1 ton of upstream product with conventional installation </t>
  </si>
  <si>
    <r>
      <t>Electricity consumption to purify and process 1 ton of CO</t>
    </r>
    <r>
      <rPr>
        <sz val="6"/>
        <color theme="1"/>
        <rFont val="Arial"/>
        <family val="2"/>
      </rPr>
      <t xml:space="preserve">2 </t>
    </r>
    <r>
      <rPr>
        <sz val="8"/>
        <color theme="1"/>
        <rFont val="Arial"/>
        <family val="2"/>
      </rPr>
      <t>to convert it in downstream product (incl. electricity for hydrogen production)</t>
    </r>
  </si>
  <si>
    <t xml:space="preserve">Initial installed conventional capacity of downstream industry </t>
  </si>
  <si>
    <t xml:space="preserve">Investment period </t>
  </si>
  <si>
    <t xml:space="preserve">Lifetime upstream production facility   </t>
  </si>
  <si>
    <t xml:space="preserve">Lifetime downstream production facility   </t>
  </si>
  <si>
    <t>Initial installed conventional capacity of upstream industry</t>
  </si>
  <si>
    <r>
      <t>CO</t>
    </r>
    <r>
      <rPr>
        <sz val="6"/>
        <color theme="1"/>
        <rFont val="Arial"/>
        <family val="2"/>
      </rPr>
      <t xml:space="preserve">2 </t>
    </r>
    <r>
      <rPr>
        <sz val="8"/>
        <color theme="1"/>
        <rFont val="Arial"/>
        <family val="2"/>
      </rPr>
      <t>emitted with CO</t>
    </r>
    <r>
      <rPr>
        <sz val="6"/>
        <color theme="1"/>
        <rFont val="Arial"/>
        <family val="2"/>
      </rPr>
      <t xml:space="preserve">2 </t>
    </r>
    <r>
      <rPr>
        <sz val="8"/>
        <color theme="1"/>
        <rFont val="Arial"/>
        <family val="2"/>
      </rPr>
      <t>utilisation process to produce 1 ton of downstream produc</t>
    </r>
    <r>
      <rPr>
        <sz val="11"/>
        <color theme="1"/>
        <rFont val="Calibri"/>
        <family val="2"/>
        <scheme val="minor"/>
      </rPr>
      <t>t</t>
    </r>
  </si>
  <si>
    <r>
      <t>Amount of tonnes CO</t>
    </r>
    <r>
      <rPr>
        <sz val="6"/>
        <color theme="1"/>
        <rFont val="Arial"/>
        <family val="2"/>
      </rPr>
      <t xml:space="preserve">2 </t>
    </r>
    <r>
      <rPr>
        <sz val="8"/>
        <color theme="1"/>
        <rFont val="Arial"/>
        <family val="2"/>
      </rPr>
      <t>required to produce 1 ton of downstream produc</t>
    </r>
    <r>
      <rPr>
        <sz val="11"/>
        <color theme="1"/>
        <rFont val="Calibri"/>
        <family val="2"/>
        <scheme val="minor"/>
      </rPr>
      <t>t</t>
    </r>
  </si>
  <si>
    <t>Carbon emission intensity STEPS [tCO2e/kWh]</t>
  </si>
  <si>
    <t>Phi_USE</t>
  </si>
  <si>
    <t>Table 1: average of 2 refineries  new value: via http://oci.carnegieendowment.org/#oil/canada-cold-lake-css-dilbit?opgee=run002&amp;prelim=run41&amp;showCoke=1 and one barrel of crude oil = 4 gallons kerosine</t>
  </si>
  <si>
    <t>Capture efficiency of 85% and upstream emissions can't be captured</t>
  </si>
  <si>
    <t>http://oci.carnegieendowment.org/#oil/canada-cold-lake-css-dilbit, https://doi.org/10.1016/j.enconman.2012.09.026</t>
  </si>
  <si>
    <t>http://oci.carnegieendowment.org/#oil/canada-cold-lake-css-dilbit, https://doi.org/10.1016/j.enconman.2012.09.026, https://doi.org/10.1016/j.pecs.2011.05.001</t>
  </si>
  <si>
    <t>Discount rate of the capital investments</t>
  </si>
  <si>
    <t>Discount_rate</t>
  </si>
  <si>
    <t>Min_price_UF_factor</t>
  </si>
  <si>
    <t>Min_price_DF_factor</t>
  </si>
  <si>
    <t>TIMES-BE</t>
  </si>
  <si>
    <t>UF_TOTAL_cost_CCS</t>
  </si>
  <si>
    <t>UF_TOTAL_cost_CONV</t>
  </si>
  <si>
    <t>DF_TOTAL_cost_CONV</t>
  </si>
  <si>
    <t>https://www.europarl.europa.eu/RegData/etudes/STUD/2021/690008/EPRS_STU(2021)690008_EN.pdf</t>
  </si>
  <si>
    <t>https://www.reuters.com/article/oil-cost-factbox-idUSLS12407420090728</t>
  </si>
  <si>
    <t xml:space="preserve">(Section 5 Refining Investment Costs + extraction costs  ) x 14 % mass kerosene for 1 tonne crude oil </t>
  </si>
  <si>
    <t>https://homework.study.com/explanation/a-supersonic-aircraft-consumes-5320-imperial-gallons-of-kerosene-per-hour-of-flight-and-flies-an-average-of-14-hours-per-day-it-takes-roughly-seven-tons-of-crude-oil-to-produce-one-ton-of-kerosene.html#:~:text=hours%20per%20day.-,It%20takes%20roughly%20seven%20tons%20of%20crude%20oil%20to%20produce,metric%20tons%20of%20crude%20oil%3F</t>
  </si>
  <si>
    <t>DF_TOTAL_cost_CCU</t>
  </si>
  <si>
    <t>Electricity cost [€/kWh] -old</t>
  </si>
  <si>
    <t>Reference</t>
  </si>
  <si>
    <t>Fraction Electricity of reference</t>
  </si>
  <si>
    <t>Elasticity DS</t>
  </si>
  <si>
    <t>beta US calculated from above</t>
  </si>
  <si>
    <t>Carbon intensity electricity [tCO2e/kWh] - reference</t>
  </si>
  <si>
    <t>Controle</t>
  </si>
  <si>
    <t>CI</t>
  </si>
  <si>
    <t>CI_fraction</t>
  </si>
  <si>
    <t>CAPEX_CC_r</t>
  </si>
  <si>
    <t>CAPEX_CC_bio</t>
  </si>
  <si>
    <t>CAPEX_bio</t>
  </si>
  <si>
    <t>Alpha_CC_r</t>
  </si>
  <si>
    <t>Alpha_CC_bio</t>
  </si>
  <si>
    <t>Chi_r</t>
  </si>
  <si>
    <t>Chi_bio</t>
  </si>
  <si>
    <t>EN_CC_r</t>
  </si>
  <si>
    <t>EN_CC_bio</t>
  </si>
  <si>
    <t>EN_bio</t>
  </si>
  <si>
    <t>EN_r</t>
  </si>
  <si>
    <t>A_fuel</t>
  </si>
  <si>
    <t>B_fuel</t>
  </si>
  <si>
    <t>Legacy_cap_r</t>
  </si>
  <si>
    <t xml:space="preserve">Linear_reduction_fact </t>
  </si>
  <si>
    <t>ETS_cap [EUA/y]</t>
  </si>
  <si>
    <t>Lifetime_cap</t>
  </si>
  <si>
    <t>Linear reduction factor of EU ETS cap</t>
  </si>
  <si>
    <t>Beta</t>
  </si>
  <si>
    <t xml:space="preserve">Mton pa </t>
  </si>
  <si>
    <t>Gamma</t>
  </si>
  <si>
    <t>EM_ref</t>
  </si>
  <si>
    <t>ADMM_max_it</t>
  </si>
  <si>
    <t>rho</t>
  </si>
  <si>
    <t>RC_cap [EUA/y]</t>
  </si>
  <si>
    <t>Case_name</t>
  </si>
  <si>
    <t>Total_net_emissions</t>
  </si>
  <si>
    <t>Total_emissions</t>
  </si>
  <si>
    <t>Fraction_removals</t>
  </si>
  <si>
    <t>Total_costs_per_net</t>
  </si>
  <si>
    <t>Total_budget</t>
  </si>
  <si>
    <t>Learning_gains_per_em</t>
  </si>
  <si>
    <t>Learning_gains_per_rem</t>
  </si>
  <si>
    <t>ETS_max</t>
  </si>
  <si>
    <t>RC_max</t>
  </si>
  <si>
    <t>Social Optimal</t>
  </si>
  <si>
    <t>No Removals (ETS Endgame)</t>
  </si>
  <si>
    <t>Disconnected markets - Removal Target</t>
  </si>
  <si>
    <t>Unconditional Market Integration - Net Emission Cap</t>
  </si>
  <si>
    <t>Unconditional Market Integration - Gross Emission Cap</t>
  </si>
  <si>
    <t>Conditional Market Integration</t>
  </si>
  <si>
    <t>Removal Obligation</t>
  </si>
  <si>
    <t>Equivalence Obligation</t>
  </si>
  <si>
    <t>Learning</t>
  </si>
  <si>
    <t>No Learning</t>
  </si>
  <si>
    <t>No learning linear removals</t>
  </si>
  <si>
    <t>No learning linear removals and abatement</t>
  </si>
  <si>
    <t>Frac_removal_obligation [%]</t>
  </si>
  <si>
    <t>Total_costs</t>
  </si>
  <si>
    <t>Frac_removal_obligation_gross [%]</t>
  </si>
  <si>
    <t>Case_name,Total_net_emissions,Total_emissions,Total_costs,Fraction_costs_abatement,Fraction_costs_removals,Fraction_removals,Total_costs_per_net,Total_budget,Learning_gains_per_em,Learning_gains_per_rem,ETS_max,RC_max</t>
  </si>
  <si>
    <t>Social Optimum,17.41739999999999,61.69080000000002,4041.9738763755086,61.338252839773446,38.66174716022656,71.76661674025951,232.06528393305032,-3672.1061237428653,1.7283323749875963,211.99487402522053,4344.052802507226,4344.052802507226</t>
  </si>
  <si>
    <t>No Removals (ETS Endgame),17.427,17.427,12156.82023520458,100.0,0.0,0.0,697.5853695532553,191.16557214527126,14.216379044938211,0.0,599.995222171279,380.0</t>
  </si>
  <si>
    <t>Disconnected Markets - Removal Target,13.619999999999996,40.322999999999986,5655.028352326152,75.21255774080787,24.787442259192144,66.22275128338664,415.2003195540495,-39.405176387459925,1.5429753366122398,119.57433931632667,291.98100000001625,592.5807851435441</t>
  </si>
  <si>
    <t>Connected Markets - Net Cap,17.426099999999995,35.56139999999999,4906.1959953376845,92.52137882239109,7.4786211776089075,50.99714859369991,281.5429726294286,181.55962157513093,1.8051961357017763,40.462565680892766,449.230642359429,449.2305899260171</t>
  </si>
  <si>
    <t>Net Cap with Removal Obligation (net-negative),13.90139999999999,35.12969999999999,5116.764528857149,88.4492234646784,11.550776535321598,60.42835549406913,368.07548368201424,226.38008282417746,1.797235751215429,49.93301290382045,440.46225884807376,446.94330184715807</t>
  </si>
  <si>
    <t>Net Cap with Equivalence Obligation (impermanence),14.334,34.933800000000005,4982.5328303178885,91.10079046187603,8.899209538123968,58.96810538790513,347.60240200348045,219.62761974581065,1.8082306269633666,48.508788077877234,446.40173905670713,446.4017308441351</t>
  </si>
  <si>
    <t>Conditional Market Integration - Net Cap (price-based),17.4216,41.225699999999996,5011.135732264447,83.12516552763468,16.87483447236533,57.74092374416928,287.6392370542572,29.74063899044135,1.4608569920514014,94.28682943743888,250.00708294864668,623.8722221013703</t>
  </si>
  <si>
    <t>Connected Markets - Gross Cap,31.85789999999999,40.322999999999986,4306.226195032753,98.77073967128226,1.2292603287177355,20.993229670411417,135.1698070190676,213.7778741739109,1.5429753366122398,12.28093640779971,291.98100000001625,380.0</t>
  </si>
  <si>
    <t>Gross Cap with Removal Target (net-zero),17.251199999999994,40.322999999999986,5261.551088742243,80.83721687798149,19.16278312201851,57.217468938323044,304.9962372902897,95.84469727200259,1.5429753366122398,64.48094245426994,291.98100000000983,518.7332627971666</t>
  </si>
  <si>
    <t>Fraction_costs_abatement</t>
  </si>
  <si>
    <t>Fraction_costs_removals</t>
  </si>
  <si>
    <t>Social Optimum</t>
  </si>
  <si>
    <t>Disconnected Markets - Removal Target</t>
  </si>
  <si>
    <t>Connected Markets - Net Cap</t>
  </si>
  <si>
    <t>Net Cap with Removal Obligation (net-negative)</t>
  </si>
  <si>
    <t>Net Cap with Equivalence Obligation (impermanence)</t>
  </si>
  <si>
    <t>Conditional Market Integration - Net Cap (price-based)</t>
  </si>
  <si>
    <t>Connected Markets - Gross Cap</t>
  </si>
  <si>
    <t>Gross Cap with Removal Target (net-zero)</t>
  </si>
  <si>
    <t>ETS_avg</t>
  </si>
  <si>
    <t>Emitter_cost_avg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</si>
</sst>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21"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u/>
      <sz val="11"/>
      <color theme="10"/>
      <name val="Calibri"/>
      <family val="2"/>
      <scheme val="minor"/>
    </font>
    <font>
      <sz val="8"/>
      <color rgb="FF434343"/>
      <name val="Arial"/>
      <family val="2"/>
    </font>
    <font>
      <sz val="6"/>
      <color rgb="FF434343"/>
      <name val="Arial"/>
      <family val="2"/>
    </font>
    <font>
      <sz val="11"/>
      <color rgb="FFFF0000"/>
      <name val="Calibri"/>
      <family val="2"/>
      <scheme val="minor"/>
    </font>
    <font>
      <sz val="11"/>
      <name val="Calibri"/>
      <family val="2"/>
      <scheme val="minor"/>
    </font>
    <font>
      <b/>
      <u/>
      <sz val="11"/>
      <color theme="10"/>
      <name val="Calibri"/>
      <family val="2"/>
      <scheme val="minor"/>
    </font>
    <font>
      <sz val="9"/>
      <color indexed="81"/>
      <name val="Tahoma"/>
      <family val="2"/>
    </font>
    <font>
      <b/>
      <sz val="9"/>
      <color indexed="81"/>
      <name val="Tahoma"/>
      <family val="2"/>
    </font>
    <font>
      <vertAlign val="superscript"/>
      <sz val="11"/>
      <color theme="1"/>
      <name val="Calibri"/>
      <family val="2"/>
      <scheme val="minor"/>
    </font>
    <font>
      <sz val="8"/>
      <color theme="1"/>
      <name val="Arial"/>
      <family val="2"/>
    </font>
    <font>
      <sz val="6"/>
      <color theme="1"/>
      <name val="Arial"/>
      <family val="2"/>
    </font>
    <font>
      <sz val="10"/>
      <name val="Arial"/>
      <family val="2"/>
    </font>
    <font>
      <sz val="7"/>
      <color rgb="FF202122"/>
      <name val="Arial"/>
      <family val="2"/>
    </font>
    <font>
      <strike/>
      <sz val="11"/>
      <color theme="1"/>
      <name val="Calibri"/>
      <family val="2"/>
      <scheme val="minor"/>
    </font>
    <font>
      <sz val="11"/>
      <color rgb="FF9C0006"/>
      <name val="Calibri"/>
      <family val="2"/>
      <scheme val="minor"/>
    </font>
    <font>
      <b/>
      <sz val="11"/>
      <color rgb="FF006100"/>
      <name val="Calibri"/>
      <family val="2"/>
      <scheme val="minor"/>
    </font>
  </fonts>
  <fills count="17">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4"/>
        <bgColor indexed="64"/>
      </patternFill>
    </fill>
    <fill>
      <patternFill patternType="solid">
        <fgColor theme="9"/>
        <bgColor indexed="64"/>
      </patternFill>
    </fill>
    <fill>
      <patternFill patternType="solid">
        <fgColor rgb="FFFF6969"/>
        <bgColor indexed="64"/>
      </patternFill>
    </fill>
    <fill>
      <patternFill patternType="solid">
        <fgColor theme="5"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7CE"/>
      </patternFill>
    </fill>
    <fill>
      <patternFill patternType="solid">
        <fgColor theme="2"/>
        <bgColor indexed="64"/>
      </patternFill>
    </fill>
    <fill>
      <patternFill patternType="solid">
        <fgColor theme="0" tint="-0.14999847407452621"/>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2">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0" borderId="0" applyNumberFormat="0" applyFill="0" applyBorder="0" applyAlignment="0" applyProtection="0"/>
    <xf numFmtId="0" fontId="16" fillId="0" borderId="0"/>
    <xf numFmtId="9" fontId="16"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xf numFmtId="43" fontId="16" fillId="0" borderId="0" applyFont="0" applyFill="0" applyBorder="0" applyAlignment="0" applyProtection="0"/>
    <xf numFmtId="41" fontId="16" fillId="0" borderId="0" applyFont="0" applyFill="0" applyBorder="0" applyAlignment="0" applyProtection="0"/>
    <xf numFmtId="0" fontId="19" fillId="14" borderId="0" applyNumberFormat="0" applyBorder="0" applyAlignment="0" applyProtection="0"/>
  </cellStyleXfs>
  <cellXfs count="44">
    <xf numFmtId="0" fontId="0" fillId="0" borderId="0" xfId="0"/>
    <xf numFmtId="0" fontId="1" fillId="0" borderId="0" xfId="0" applyFont="1"/>
    <xf numFmtId="0" fontId="5" fillId="0" borderId="0" xfId="4"/>
    <xf numFmtId="0" fontId="2" fillId="2" borderId="0" xfId="1"/>
    <xf numFmtId="0" fontId="3" fillId="3" borderId="0" xfId="2"/>
    <xf numFmtId="3" fontId="3" fillId="3" borderId="0" xfId="2" applyNumberFormat="1"/>
    <xf numFmtId="0" fontId="4" fillId="4" borderId="1" xfId="3"/>
    <xf numFmtId="0" fontId="6" fillId="0" borderId="0" xfId="0" applyFont="1"/>
    <xf numFmtId="0" fontId="2" fillId="2" borderId="1" xfId="1" applyBorder="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8" fillId="0" borderId="0" xfId="0" applyFont="1"/>
    <xf numFmtId="0" fontId="9" fillId="0" borderId="0" xfId="0" applyFont="1"/>
    <xf numFmtId="0" fontId="10" fillId="0" borderId="0" xfId="4" applyFont="1"/>
    <xf numFmtId="0" fontId="0" fillId="12" borderId="0" xfId="0" applyFill="1"/>
    <xf numFmtId="0" fontId="8" fillId="13" borderId="0" xfId="0" applyFont="1" applyFill="1"/>
    <xf numFmtId="0" fontId="9" fillId="13" borderId="0" xfId="0" applyFont="1" applyFill="1"/>
    <xf numFmtId="49" fontId="1" fillId="0" borderId="0" xfId="0" applyNumberFormat="1" applyFont="1"/>
    <xf numFmtId="49" fontId="0" fillId="0" borderId="0" xfId="0" applyNumberFormat="1"/>
    <xf numFmtId="3" fontId="16" fillId="0" borderId="0" xfId="5" applyNumberFormat="1" applyFont="1" applyFill="1" applyBorder="1" applyAlignment="1" applyProtection="1">
      <alignment horizontal="right" vertical="center"/>
    </xf>
    <xf numFmtId="2" fontId="0" fillId="0" borderId="0" xfId="0" applyNumberFormat="1"/>
    <xf numFmtId="0" fontId="5" fillId="0" borderId="0" xfId="4" applyFill="1"/>
    <xf numFmtId="0" fontId="17" fillId="0" borderId="0" xfId="0" applyFont="1"/>
    <xf numFmtId="0" fontId="18" fillId="0" borderId="0" xfId="0" applyFont="1"/>
    <xf numFmtId="49" fontId="0" fillId="0" borderId="0" xfId="0" applyNumberFormat="1" applyFill="1"/>
    <xf numFmtId="0" fontId="9" fillId="3" borderId="0" xfId="2" applyFont="1"/>
    <xf numFmtId="0" fontId="19" fillId="14" borderId="0" xfId="11"/>
    <xf numFmtId="0" fontId="0" fillId="0" borderId="0" xfId="0" applyFill="1"/>
    <xf numFmtId="2" fontId="2" fillId="2" borderId="0" xfId="1" applyNumberFormat="1"/>
    <xf numFmtId="0" fontId="20" fillId="2" borderId="0" xfId="1" applyFont="1"/>
    <xf numFmtId="0" fontId="5" fillId="12" borderId="0" xfId="4" applyFill="1"/>
    <xf numFmtId="0" fontId="2" fillId="2" borderId="0" xfId="1" applyFont="1"/>
    <xf numFmtId="0" fontId="0" fillId="0" borderId="0" xfId="0" applyFont="1"/>
    <xf numFmtId="0" fontId="0" fillId="15" borderId="0" xfId="0" applyFill="1"/>
    <xf numFmtId="2" fontId="0" fillId="0" borderId="0" xfId="0" applyNumberFormat="1" applyAlignment="1">
      <alignment horizontal="right"/>
    </xf>
    <xf numFmtId="2" fontId="0" fillId="15" borderId="0" xfId="0" applyNumberFormat="1" applyFill="1" applyAlignment="1">
      <alignment horizontal="right"/>
    </xf>
    <xf numFmtId="2" fontId="0" fillId="15" borderId="0" xfId="0" applyNumberFormat="1" applyFill="1"/>
    <xf numFmtId="0" fontId="0" fillId="0" borderId="0" xfId="0" applyAlignment="1">
      <alignment horizontal="right"/>
    </xf>
    <xf numFmtId="2" fontId="0" fillId="16" borderId="0" xfId="0" applyNumberFormat="1" applyFill="1" applyAlignment="1">
      <alignment horizontal="right"/>
    </xf>
  </cellXfs>
  <cellStyles count="12">
    <cellStyle name="Bad" xfId="11" builtinId="27"/>
    <cellStyle name="Comma [0] 2" xfId="10" xr:uid="{70E92D69-D259-4EC1-8D0E-CC377735B6BC}"/>
    <cellStyle name="Comma 2" xfId="9" xr:uid="{308D436F-DA48-4AD5-9446-A75665C0567E}"/>
    <cellStyle name="Currency [0] 2" xfId="8" xr:uid="{6DF305D0-A6C6-4866-BBBA-F020C7B97F73}"/>
    <cellStyle name="Currency 2" xfId="7" xr:uid="{0AA5101A-D562-4ABA-B9FE-22CEBF843B5C}"/>
    <cellStyle name="Good" xfId="1" builtinId="26"/>
    <cellStyle name="Hyperlink" xfId="4" builtinId="8"/>
    <cellStyle name="Input" xfId="3" builtinId="20"/>
    <cellStyle name="Neutral" xfId="2" builtinId="28"/>
    <cellStyle name="Normal" xfId="0" builtinId="0"/>
    <cellStyle name="Normal 2" xfId="5" xr:uid="{661CA592-1C52-42D8-9622-325D12675950}"/>
    <cellStyle name="Percent 2" xfId="6" xr:uid="{EADAB7CB-EB07-4CA3-AF35-25677E36F038}"/>
  </cellStyles>
  <dxfs count="0"/>
  <tableStyles count="0" defaultTableStyle="TableStyleMedium2" defaultPivotStyle="PivotStyleLight16"/>
  <colors>
    <mruColors>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92363</xdr:colOff>
      <xdr:row>1</xdr:row>
      <xdr:rowOff>0</xdr:rowOff>
    </xdr:from>
    <xdr:to>
      <xdr:col>17</xdr:col>
      <xdr:colOff>438727</xdr:colOff>
      <xdr:row>10</xdr:row>
      <xdr:rowOff>173182</xdr:rowOff>
    </xdr:to>
    <xdr:sp macro="" textlink="">
      <xdr:nvSpPr>
        <xdr:cNvPr id="2" name="TextBox 1">
          <a:extLst>
            <a:ext uri="{FF2B5EF4-FFF2-40B4-BE49-F238E27FC236}">
              <a16:creationId xmlns:a16="http://schemas.microsoft.com/office/drawing/2014/main" id="{19D43617-A086-2982-6514-065B229CF903}"/>
            </a:ext>
          </a:extLst>
        </xdr:cNvPr>
        <xdr:cNvSpPr txBox="1"/>
      </xdr:nvSpPr>
      <xdr:spPr>
        <a:xfrm>
          <a:off x="13207999" y="184727"/>
          <a:ext cx="4629728" cy="1835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wsDr>
</file>

<file path=xl/persons/person.xml><?xml version="1.0" encoding="utf-8"?>
<personList xmlns="http://schemas.microsoft.com/office/spreadsheetml/2018/threadedcomments" xmlns:x="http://schemas.openxmlformats.org/spreadsheetml/2006/main">
  <person displayName="Flore Verbist" id="{E114374E-9131-40FA-AEF5-9B0B0C41A1A4}" userId="Flore Verbist"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1" dT="2023-06-26T14:24:30.08" personId="{E114374E-9131-40FA-AEF5-9B0B0C41A1A4}" id="{3F37BF6C-0C3B-4E1D-839D-263CC413F5E9}">
    <text>Should in principle be something like 550 euro/ton product. However, variable costs like iron ore/scrap inputs are half of these costs and are not taken into account  (see page 37: https://www.europarl.europa.eu/RegData/etudes/STUD/2021/690008/EPRS_STU(2021)690008_EN.pdf)</text>
  </threadedComment>
  <threadedComment ref="C41" dT="2023-06-26T14:24:30.08" personId="{E114374E-9131-40FA-AEF5-9B0B0C41A1A4}" id="{46949B3D-F599-46AC-B60C-D3AD6DD17289}">
    <text>Should in principle be something like 550 euro/ton product. However, variable costs like iron ore/scrap inputs are half of these costs and are not taken into account  (see page 37: https://www.europarl.europa.eu/RegData/etudes/STUD/2021/690008/EPRS_STU(2021)690008_EN.pdf)</text>
  </threadedComment>
</ThreadedComments>
</file>

<file path=xl/threadedComments/threadedComment2.xml><?xml version="1.0" encoding="utf-8"?>
<ThreadedComments xmlns="http://schemas.microsoft.com/office/spreadsheetml/2018/threadedcomments" xmlns:x="http://schemas.openxmlformats.org/spreadsheetml/2006/main">
  <threadedComment ref="B15" dT="2023-06-26T15:14:41.30" personId="{E114374E-9131-40FA-AEF5-9B0B0C41A1A4}" id="{D68DEE75-00E7-4792-A0D5-FD8D0DD8A1E9}">
    <text>Multiplied with 0.11 which forms the mass fraction kerosene of 1 tonne of crude oil</text>
  </threadedComment>
  <threadedComment ref="B15" dT="2023-06-27T08:53:30.76" personId="{E114374E-9131-40FA-AEF5-9B0B0C41A1A4}" id="{4114D067-42AB-4ABC-9490-6AA8F60BF04D}" parentId="{D68DEE75-00E7-4792-A0D5-FD8D0DD8A1E9}">
    <text>NO not anymore, because this is already scaled per tonne CO2 captured, if you multiply with the amount of CO2 released per kerosone tonne, its ok</text>
  </threadedComment>
  <threadedComment ref="B49" dT="2023-06-26T14:24:30.08" personId="{E114374E-9131-40FA-AEF5-9B0B0C41A1A4}" id="{9F7348A5-D07D-4A50-95B0-95EDD872BEB2}">
    <text>Should in principle be something like 550 euro/ton product. However, variable costs like iron ore/scrap inputs are half of these costs and are not taken into account  (see page 37: https://www.europarl.europa.eu/RegData/etudes/STUD/2021/690008/EPRS_STU(2021)690008_EN.pdf)</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1016/j.enconman.2012.09.026" TargetMode="External"/><Relationship Id="rId13" Type="http://schemas.openxmlformats.org/officeDocument/2006/relationships/hyperlink" Target="https://www.offsetguide.org/understanding-carbon-offsets/air-travel-climate/climate-impacts-from-aviation/co2-emissions/" TargetMode="External"/><Relationship Id="rId18" Type="http://schemas.openxmlformats.org/officeDocument/2006/relationships/comments" Target="../comments1.xml"/><Relationship Id="rId3" Type="http://schemas.openxmlformats.org/officeDocument/2006/relationships/hyperlink" Target="https://doi.org/10.1016/j.fuel.2022.127074" TargetMode="External"/><Relationship Id="rId7" Type="http://schemas.openxmlformats.org/officeDocument/2006/relationships/hyperlink" Target="https://doi.org/10.1016/j.enconman.2012.09.026" TargetMode="External"/><Relationship Id="rId12" Type="http://schemas.openxmlformats.org/officeDocument/2006/relationships/hyperlink" Target="https://doi.org/10.1021/acs.est.7b01723" TargetMode="External"/><Relationship Id="rId17" Type="http://schemas.openxmlformats.org/officeDocument/2006/relationships/vmlDrawing" Target="../drawings/vmlDrawing1.vml"/><Relationship Id="rId2" Type="http://schemas.openxmlformats.org/officeDocument/2006/relationships/hyperlink" Target="https://zeroemissionsplatform.eu/co2-storage-cost/" TargetMode="External"/><Relationship Id="rId16" Type="http://schemas.openxmlformats.org/officeDocument/2006/relationships/printerSettings" Target="../printerSettings/printerSettings1.bin"/><Relationship Id="rId1" Type="http://schemas.openxmlformats.org/officeDocument/2006/relationships/hyperlink" Target="https://doi.org/10.1021/acs.est.7b01723" TargetMode="External"/><Relationship Id="rId6" Type="http://schemas.openxmlformats.org/officeDocument/2006/relationships/hyperlink" Target="https://www.oecd.org/officialdocuments/publicdisplaydocumentpdf/?cote=DSTI/SC(2022)11/FINAL&amp;docLanguage=en" TargetMode="External"/><Relationship Id="rId11" Type="http://schemas.openxmlformats.org/officeDocument/2006/relationships/hyperlink" Target="https://doi.org/10.1016/j.fuel.2022.127074" TargetMode="External"/><Relationship Id="rId5" Type="http://schemas.openxmlformats.org/officeDocument/2006/relationships/hyperlink" Target="https://doi.org/10.1016/j.fuel.2022.127074" TargetMode="External"/><Relationship Id="rId15" Type="http://schemas.openxmlformats.org/officeDocument/2006/relationships/hyperlink" Target="https://www.jstor.org/stable/pdf/resrep15596.9.pdf" TargetMode="External"/><Relationship Id="rId10" Type="http://schemas.openxmlformats.org/officeDocument/2006/relationships/hyperlink" Target="https://doi.org/10.1016/j.enconman.2012.09.026" TargetMode="External"/><Relationship Id="rId19" Type="http://schemas.microsoft.com/office/2017/10/relationships/threadedComment" Target="../threadedComments/threadedComment1.xml"/><Relationship Id="rId4" Type="http://schemas.openxmlformats.org/officeDocument/2006/relationships/hyperlink" Target="http://large.stanford.edu/courses/2016/ph240/martelaro1/" TargetMode="External"/><Relationship Id="rId9" Type="http://schemas.openxmlformats.org/officeDocument/2006/relationships/hyperlink" Target="https://doi.org/10.1016/j.enconman.2012.09.026" TargetMode="External"/><Relationship Id="rId14" Type="http://schemas.openxmlformats.org/officeDocument/2006/relationships/hyperlink" Target="https://www.europarl.europa.eu/RegData/etudes/STUD/2021/690008/EPRS_STU(2021)690008_EN.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2022.entsos-tyndp-scenarios.eu/wp-content/uploads/2022/04/TYNDP2022_Joint_Scenario_Full-Report-April-2022.pdf" TargetMode="External"/><Relationship Id="rId13" Type="http://schemas.openxmlformats.org/officeDocument/2006/relationships/printerSettings" Target="../printerSettings/printerSettings2.bin"/><Relationship Id="rId3" Type="http://schemas.openxmlformats.org/officeDocument/2006/relationships/hyperlink" Target="https://2022.entsos-tyndp-scenarios.eu/wp-content/uploads/2022/04/TYNDP2022_Joint_Scenario_Full-Report-April-2022.pdf" TargetMode="External"/><Relationship Id="rId7" Type="http://schemas.openxmlformats.org/officeDocument/2006/relationships/hyperlink" Target="https://perspective2050.energyville.be/sites/energyoutlook/files/inline-files/TIMES_BE_model_description-PATHS2050_study_20221107.pdf" TargetMode="External"/><Relationship Id="rId12" Type="http://schemas.openxmlformats.org/officeDocument/2006/relationships/hyperlink" Target="https://perspective2050.energyville.be/sites/energyoutlook/files/inline-files/TIMES_BE_model_description-PATHS2050_study_20221107.pdf" TargetMode="External"/><Relationship Id="rId2" Type="http://schemas.openxmlformats.org/officeDocument/2006/relationships/hyperlink" Target="https://www.nature.com/articles/s41586-022-05224-9" TargetMode="External"/><Relationship Id="rId1" Type="http://schemas.openxmlformats.org/officeDocument/2006/relationships/hyperlink" Target="https://assets.publishing.service.gov.uk/government/uploads/system/uploads/attachment_data/file/1125226/industrial-carbon-capture-business-model-summary-december-2022.pdf" TargetMode="External"/><Relationship Id="rId6" Type="http://schemas.openxmlformats.org/officeDocument/2006/relationships/hyperlink" Target="https://perspective2050.energyville.be/sites/energyoutlook/files/inline-files/TIMES_BE_model_description-PATHS2050_study_20221107.pdf" TargetMode="External"/><Relationship Id="rId11" Type="http://schemas.openxmlformats.org/officeDocument/2006/relationships/hyperlink" Target="https://perspective2050.energyville.be/sites/energyoutlook/files/inline-files/TIMES_BE_model_description-PATHS2050_study_20221107.pdf" TargetMode="External"/><Relationship Id="rId5" Type="http://schemas.openxmlformats.org/officeDocument/2006/relationships/hyperlink" Target="https://perspective2050.energyville.be/sites/energyoutlook/files/inline-files/TIMES_BE_model_description-PATHS2050_study_20221107.pdf" TargetMode="External"/><Relationship Id="rId15" Type="http://schemas.openxmlformats.org/officeDocument/2006/relationships/comments" Target="../comments2.xml"/><Relationship Id="rId10" Type="http://schemas.openxmlformats.org/officeDocument/2006/relationships/hyperlink" Target="https://perspective2050.energyville.be/sites/energyoutlook/files/inline-files/TIMES_BE_model_description-PATHS2050_study_20221107.pdf" TargetMode="External"/><Relationship Id="rId4" Type="http://schemas.openxmlformats.org/officeDocument/2006/relationships/hyperlink" Target="https://perspective2050.energyville.be/sites/energyoutlook/files/inline-files/TIMES_BE_model_description-PATHS2050_study_20221107.pdf" TargetMode="External"/><Relationship Id="rId9" Type="http://schemas.openxmlformats.org/officeDocument/2006/relationships/hyperlink" Target="https://www.statista.com/statistics/1257765/global-emission-intensity-electricity-generation-region/" TargetMode="External"/><Relationship Id="rId1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016/j.jcou.2021.101459" TargetMode="External"/><Relationship Id="rId13" Type="http://schemas.openxmlformats.org/officeDocument/2006/relationships/hyperlink" Target="https://doi.org/10.1016/j.enconman.2012.09.026" TargetMode="External"/><Relationship Id="rId18" Type="http://schemas.openxmlformats.org/officeDocument/2006/relationships/hyperlink" Target="https://www.europarl.europa.eu/RegData/etudes/BRIE/2022/698890/EPRS_BRI(2022)698890_EN.pdf" TargetMode="External"/><Relationship Id="rId3" Type="http://schemas.openxmlformats.org/officeDocument/2006/relationships/hyperlink" Target="https://doi.org/10.1016/j.fuel.2022.127074" TargetMode="External"/><Relationship Id="rId21" Type="http://schemas.openxmlformats.org/officeDocument/2006/relationships/hyperlink" Target="https://www.offsetguide.org/understanding-carbon-offsets/air-travel-climate/climate-impacts-from-aviation/co2-emissions/" TargetMode="External"/><Relationship Id="rId7" Type="http://schemas.openxmlformats.org/officeDocument/2006/relationships/hyperlink" Target="https://doi.org/10.1016/j.fuel.2022.127074" TargetMode="External"/><Relationship Id="rId12" Type="http://schemas.openxmlformats.org/officeDocument/2006/relationships/hyperlink" Target="https://doi.org/10.1016/j.enconman.2012.09.026" TargetMode="External"/><Relationship Id="rId17" Type="http://schemas.openxmlformats.org/officeDocument/2006/relationships/hyperlink" Target="https://doi.org/10.1021/acs.est.7b01723" TargetMode="External"/><Relationship Id="rId25" Type="http://schemas.microsoft.com/office/2017/10/relationships/threadedComment" Target="../threadedComments/threadedComment2.xml"/><Relationship Id="rId2" Type="http://schemas.openxmlformats.org/officeDocument/2006/relationships/hyperlink" Target="https://zeroemissionsplatform.eu/co2-storage-cost/" TargetMode="External"/><Relationship Id="rId16" Type="http://schemas.openxmlformats.org/officeDocument/2006/relationships/hyperlink" Target="https://doi.org/10.1016/j.jcou.2021.101459" TargetMode="External"/><Relationship Id="rId20" Type="http://schemas.openxmlformats.org/officeDocument/2006/relationships/hyperlink" Target="https://www.jstor.org/stable/pdf/resrep15596.9.pdf" TargetMode="External"/><Relationship Id="rId1" Type="http://schemas.openxmlformats.org/officeDocument/2006/relationships/hyperlink" Target="https://doi.org/10.1021/acs.est.7b01723" TargetMode="External"/><Relationship Id="rId6" Type="http://schemas.openxmlformats.org/officeDocument/2006/relationships/hyperlink" Target="https://doi.org/10.1016/j.jcou.2021.101459" TargetMode="External"/><Relationship Id="rId11" Type="http://schemas.openxmlformats.org/officeDocument/2006/relationships/hyperlink" Target="https://doi.org/10.1016/j.enconman.2012.09.026" TargetMode="External"/><Relationship Id="rId24" Type="http://schemas.openxmlformats.org/officeDocument/2006/relationships/comments" Target="../comments3.xml"/><Relationship Id="rId5" Type="http://schemas.openxmlformats.org/officeDocument/2006/relationships/hyperlink" Target="http://large.stanford.edu/courses/2016/ph240/martelaro1/" TargetMode="External"/><Relationship Id="rId15" Type="http://schemas.openxmlformats.org/officeDocument/2006/relationships/hyperlink" Target="https://doi.org/10.1016/j.fuel.2022.127074" TargetMode="External"/><Relationship Id="rId23" Type="http://schemas.openxmlformats.org/officeDocument/2006/relationships/vmlDrawing" Target="../drawings/vmlDrawing3.vml"/><Relationship Id="rId10" Type="http://schemas.openxmlformats.org/officeDocument/2006/relationships/hyperlink" Target="https://doi.org/10.1016/j.enconman.2012.09.026" TargetMode="External"/><Relationship Id="rId19" Type="http://schemas.openxmlformats.org/officeDocument/2006/relationships/hyperlink" Target="https://transportgeography.org/contents/chapter4/transportation-and-energy/combustibles-energy-content/" TargetMode="External"/><Relationship Id="rId4" Type="http://schemas.openxmlformats.org/officeDocument/2006/relationships/hyperlink" Target="https://www.globalpetrolprices.com/kerosene_prices/" TargetMode="External"/><Relationship Id="rId9" Type="http://schemas.openxmlformats.org/officeDocument/2006/relationships/hyperlink" Target="https://www.oecd.org/officialdocuments/publicdisplaydocumentpdf/?cote=DSTI/SC(2022)11/FINAL&amp;docLanguage=en" TargetMode="External"/><Relationship Id="rId14" Type="http://schemas.openxmlformats.org/officeDocument/2006/relationships/hyperlink" Target="https://doi.org/10.1007/978-3-030-86884-0" TargetMode="External"/><Relationship Id="rId22" Type="http://schemas.openxmlformats.org/officeDocument/2006/relationships/hyperlink" Target="https://www.europarl.europa.eu/RegData/etudes/STUD/2021/690008/EPRS_STU(2021)690008_EN.p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osti.gov/servlets/purl/1798305" TargetMode="External"/><Relationship Id="rId13" Type="http://schemas.openxmlformats.org/officeDocument/2006/relationships/hyperlink" Target="https://zeroemissionsplatform.eu/co2-storage-cost/" TargetMode="External"/><Relationship Id="rId18" Type="http://schemas.openxmlformats.org/officeDocument/2006/relationships/comments" Target="../comments4.xml"/><Relationship Id="rId3" Type="http://schemas.openxmlformats.org/officeDocument/2006/relationships/hyperlink" Target="https://zeroemissionsplatform.eu/co2-storage-cost/" TargetMode="External"/><Relationship Id="rId7" Type="http://schemas.openxmlformats.org/officeDocument/2006/relationships/hyperlink" Target="https://theicct.org/publication/fuels-us-eu-cost-ekerosene-mar22/" TargetMode="External"/><Relationship Id="rId12" Type="http://schemas.openxmlformats.org/officeDocument/2006/relationships/hyperlink" Target="https://ec.europa.eu/eurostat/statistics-explained/index.php?title=Electricity_price_statistics" TargetMode="External"/><Relationship Id="rId17" Type="http://schemas.openxmlformats.org/officeDocument/2006/relationships/vmlDrawing" Target="../drawings/vmlDrawing4.vml"/><Relationship Id="rId2" Type="http://schemas.openxmlformats.org/officeDocument/2006/relationships/hyperlink" Target="https://doi.org/10.1021/acs.est.7b01723" TargetMode="External"/><Relationship Id="rId16" Type="http://schemas.openxmlformats.org/officeDocument/2006/relationships/hyperlink" Target="https://assets.publishing.service.gov.uk/government/uploads/system/uploads/attachment_data/file/1125226/industrial-carbon-capture-business-model-summary-december-2022.pdf" TargetMode="External"/><Relationship Id="rId1" Type="http://schemas.openxmlformats.org/officeDocument/2006/relationships/hyperlink" Target="https://ec.europa.eu/eurostat/statistics-explained/index.php?title=Electricity_price_statistics" TargetMode="External"/><Relationship Id="rId6" Type="http://schemas.openxmlformats.org/officeDocument/2006/relationships/hyperlink" Target="https://www.steelonthenet.com/capital-investment/eaf.html" TargetMode="External"/><Relationship Id="rId11" Type="http://schemas.openxmlformats.org/officeDocument/2006/relationships/hyperlink" Target="https://www.osti.gov/servlets/purl/1798305" TargetMode="External"/><Relationship Id="rId5" Type="http://schemas.openxmlformats.org/officeDocument/2006/relationships/hyperlink" Target="https://doi.org/10.1016/j.fuel.2022.127074" TargetMode="External"/><Relationship Id="rId15" Type="http://schemas.openxmlformats.org/officeDocument/2006/relationships/hyperlink" Target="https://ec.europa.eu/eurostat/statistics-explained/index.php?title=Electricity_price_statistics" TargetMode="External"/><Relationship Id="rId10" Type="http://schemas.openxmlformats.org/officeDocument/2006/relationships/hyperlink" Target="http://large.stanford.edu/courses/2016/ph240/martelaro1/" TargetMode="External"/><Relationship Id="rId4" Type="http://schemas.openxmlformats.org/officeDocument/2006/relationships/hyperlink" Target="https://corporate.arcelormittal.com/media/xm4blr5z/annual-report-combined-2021.pdf" TargetMode="External"/><Relationship Id="rId9" Type="http://schemas.openxmlformats.org/officeDocument/2006/relationships/hyperlink" Target="https://www.globalpetrolprices.com/kerosene_prices/" TargetMode="External"/><Relationship Id="rId14" Type="http://schemas.openxmlformats.org/officeDocument/2006/relationships/hyperlink" Target="https://www.osti.gov/servlets/purl/17983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FB63-709A-419D-AAAB-64149104223C}">
  <dimension ref="A1:I49"/>
  <sheetViews>
    <sheetView zoomScale="85" zoomScaleNormal="85" workbookViewId="0">
      <selection activeCell="D19" sqref="D19"/>
    </sheetView>
  </sheetViews>
  <sheetFormatPr defaultRowHeight="14.5" x14ac:dyDescent="0.35"/>
  <cols>
    <col min="1" max="1" width="26.7265625" customWidth="1"/>
    <col min="2" max="2" width="24.453125" customWidth="1"/>
    <col min="3" max="3" width="23.7265625" customWidth="1"/>
    <col min="4" max="4" width="30.7265625" bestFit="1" customWidth="1"/>
    <col min="5" max="5" width="91.54296875" style="23" bestFit="1" customWidth="1"/>
    <col min="6" max="6" width="36.26953125" bestFit="1" customWidth="1"/>
    <col min="7" max="7" width="56.453125" bestFit="1" customWidth="1"/>
  </cols>
  <sheetData>
    <row r="1" spans="1:7" x14ac:dyDescent="0.35">
      <c r="A1" s="1" t="s">
        <v>0</v>
      </c>
      <c r="B1" s="1" t="s">
        <v>9</v>
      </c>
      <c r="C1" s="1" t="s">
        <v>138</v>
      </c>
      <c r="D1" s="1" t="s">
        <v>5</v>
      </c>
      <c r="E1" s="22" t="s">
        <v>18</v>
      </c>
      <c r="F1" s="1" t="s">
        <v>73</v>
      </c>
      <c r="G1" s="1" t="s">
        <v>184</v>
      </c>
    </row>
    <row r="2" spans="1:7" x14ac:dyDescent="0.35">
      <c r="A2" s="20" t="s">
        <v>54</v>
      </c>
      <c r="B2" s="5">
        <f>MAX(Timeseries!A2:A28)</f>
        <v>26</v>
      </c>
      <c r="C2" s="5">
        <v>25</v>
      </c>
      <c r="D2" t="s">
        <v>8</v>
      </c>
      <c r="E2" s="23" t="s">
        <v>241</v>
      </c>
    </row>
    <row r="3" spans="1:7" x14ac:dyDescent="0.35">
      <c r="A3" s="20" t="s">
        <v>288</v>
      </c>
      <c r="B3" s="4">
        <v>2</v>
      </c>
      <c r="C3" s="4">
        <v>200000000</v>
      </c>
      <c r="D3" t="s">
        <v>198</v>
      </c>
      <c r="E3" s="23" t="s">
        <v>244</v>
      </c>
      <c r="F3" s="2"/>
    </row>
    <row r="4" spans="1:7" x14ac:dyDescent="0.35">
      <c r="A4" s="20" t="s">
        <v>291</v>
      </c>
      <c r="B4" s="4">
        <v>30</v>
      </c>
      <c r="C4" s="4">
        <v>25</v>
      </c>
      <c r="D4" t="s">
        <v>8</v>
      </c>
      <c r="E4" s="23" t="s">
        <v>242</v>
      </c>
    </row>
    <row r="5" spans="1:7" x14ac:dyDescent="0.35">
      <c r="A5" s="20" t="s">
        <v>286</v>
      </c>
      <c r="B5" s="4">
        <f>B23*B27</f>
        <v>2935.239</v>
      </c>
      <c r="C5" s="4">
        <f>C23*C27</f>
        <v>6921.6390000000001</v>
      </c>
      <c r="D5" t="s">
        <v>211</v>
      </c>
      <c r="E5" s="23" t="s">
        <v>225</v>
      </c>
    </row>
    <row r="6" spans="1:7" ht="16.5" x14ac:dyDescent="0.35">
      <c r="A6" s="20" t="s">
        <v>287</v>
      </c>
      <c r="B6" s="30">
        <f>(B23*B27-B27)/B3</f>
        <v>1369.7782</v>
      </c>
      <c r="C6" s="30">
        <f>(C23*C27-C27)/C3</f>
        <v>3.2300981999999999E-5</v>
      </c>
      <c r="D6" t="s">
        <v>212</v>
      </c>
      <c r="E6" s="23" t="s">
        <v>192</v>
      </c>
    </row>
    <row r="7" spans="1:7" x14ac:dyDescent="0.35">
      <c r="A7" s="20" t="s">
        <v>254</v>
      </c>
      <c r="B7" s="4">
        <v>0.06</v>
      </c>
      <c r="C7" s="4">
        <v>0.06</v>
      </c>
      <c r="D7" t="s">
        <v>6</v>
      </c>
      <c r="E7" s="29" t="s">
        <v>253</v>
      </c>
      <c r="F7" t="s">
        <v>257</v>
      </c>
    </row>
    <row r="8" spans="1:7" x14ac:dyDescent="0.35">
      <c r="A8" s="3" t="s">
        <v>275</v>
      </c>
      <c r="B8" s="3">
        <v>920</v>
      </c>
      <c r="C8" s="3">
        <f xml:space="preserve"> 2*C10/((1-C18)*C20)</f>
        <v>920.00000000000011</v>
      </c>
      <c r="D8" t="s">
        <v>197</v>
      </c>
      <c r="E8" s="29" t="s">
        <v>229</v>
      </c>
      <c r="F8" s="2" t="s">
        <v>136</v>
      </c>
      <c r="G8" t="s">
        <v>137</v>
      </c>
    </row>
    <row r="9" spans="1:7" x14ac:dyDescent="0.35">
      <c r="A9" s="3" t="s">
        <v>276</v>
      </c>
      <c r="B9" s="3">
        <f>(0.92*6000000000/(8000000)+100)</f>
        <v>790</v>
      </c>
      <c r="C9" s="3">
        <f>(0.92*6000000000/(8000000)+100)</f>
        <v>790</v>
      </c>
      <c r="D9" t="s">
        <v>197</v>
      </c>
      <c r="E9" s="29" t="s">
        <v>228</v>
      </c>
      <c r="F9" s="2" t="s">
        <v>188</v>
      </c>
      <c r="G9" t="s">
        <v>189</v>
      </c>
    </row>
    <row r="10" spans="1:7" x14ac:dyDescent="0.35">
      <c r="A10" s="3" t="s">
        <v>277</v>
      </c>
      <c r="B10" s="3">
        <v>644</v>
      </c>
      <c r="C10" s="3">
        <f>0.92*700</f>
        <v>644</v>
      </c>
      <c r="D10" t="s">
        <v>199</v>
      </c>
      <c r="E10" s="29" t="s">
        <v>231</v>
      </c>
      <c r="F10" s="26" t="s">
        <v>195</v>
      </c>
      <c r="G10" t="s">
        <v>194</v>
      </c>
    </row>
    <row r="11" spans="1:7" x14ac:dyDescent="0.35">
      <c r="A11" s="3" t="s">
        <v>176</v>
      </c>
      <c r="B11" s="3">
        <v>11</v>
      </c>
      <c r="C11" s="3">
        <v>11</v>
      </c>
      <c r="D11" t="s">
        <v>19</v>
      </c>
      <c r="E11" s="29" t="s">
        <v>233</v>
      </c>
      <c r="F11" s="2" t="s">
        <v>87</v>
      </c>
      <c r="G11" t="s">
        <v>88</v>
      </c>
    </row>
    <row r="12" spans="1:7" x14ac:dyDescent="0.35">
      <c r="A12" s="3" t="s">
        <v>26</v>
      </c>
      <c r="B12" s="3">
        <f>(30+12)/2</f>
        <v>21</v>
      </c>
      <c r="C12" s="3">
        <f>(30+12)/2</f>
        <v>21</v>
      </c>
      <c r="D12" t="s">
        <v>19</v>
      </c>
      <c r="E12" s="29" t="s">
        <v>234</v>
      </c>
      <c r="F12" s="26" t="s">
        <v>86</v>
      </c>
      <c r="G12" t="s">
        <v>85</v>
      </c>
    </row>
    <row r="13" spans="1:7" x14ac:dyDescent="0.35">
      <c r="A13" s="3" t="s">
        <v>285</v>
      </c>
      <c r="B13" s="3">
        <v>3055</v>
      </c>
      <c r="C13" s="3">
        <v>3055</v>
      </c>
      <c r="D13" t="s">
        <v>201</v>
      </c>
      <c r="E13" s="29" t="s">
        <v>238</v>
      </c>
      <c r="F13" s="26" t="s">
        <v>127</v>
      </c>
      <c r="G13" t="s">
        <v>200</v>
      </c>
    </row>
    <row r="14" spans="1:7" x14ac:dyDescent="0.35">
      <c r="A14" s="3" t="s">
        <v>284</v>
      </c>
      <c r="B14" s="3">
        <v>5000</v>
      </c>
      <c r="C14" s="3">
        <v>5000</v>
      </c>
      <c r="D14" t="s">
        <v>201</v>
      </c>
      <c r="E14" s="29" t="s">
        <v>238</v>
      </c>
      <c r="F14" s="26"/>
    </row>
    <row r="15" spans="1:7" x14ac:dyDescent="0.35">
      <c r="A15" s="3" t="s">
        <v>282</v>
      </c>
      <c r="B15" s="3">
        <v>286</v>
      </c>
      <c r="C15" s="3">
        <v>286</v>
      </c>
      <c r="D15" t="s">
        <v>34</v>
      </c>
      <c r="E15" s="29" t="s">
        <v>236</v>
      </c>
      <c r="F15" s="26" t="s">
        <v>203</v>
      </c>
      <c r="G15" t="s">
        <v>205</v>
      </c>
    </row>
    <row r="16" spans="1:7" x14ac:dyDescent="0.35">
      <c r="A16" s="3" t="s">
        <v>283</v>
      </c>
      <c r="B16" s="3">
        <f>(110000/660 + 176000/1050 + 85000/510 + 102000/610 +  105000/630 + 164000/990 + 69000/410 + 391000/2360 + 627000/3790 + 303000/1840 + 363000/2190 + 375000/2270 + 586000/3540 + 245000/1480)/14</f>
        <v>166.18554089640148</v>
      </c>
      <c r="C16" s="3">
        <f>(110000/660 + 176000/1050 + 85000/510 + 102000/610 +  105000/630 + 164000/990 + 69000/410 + 391000/2360 + 627000/3790 + 303000/1840 + 363000/2190 + 375000/2270 + 586000/3540 + 245000/1480)/14</f>
        <v>166.18554089640148</v>
      </c>
      <c r="D16" t="s">
        <v>34</v>
      </c>
      <c r="E16" s="29" t="s">
        <v>235</v>
      </c>
      <c r="F16" s="26" t="s">
        <v>188</v>
      </c>
      <c r="G16" t="s">
        <v>190</v>
      </c>
    </row>
    <row r="17" spans="1:9" x14ac:dyDescent="0.35">
      <c r="A17" s="3" t="s">
        <v>248</v>
      </c>
      <c r="B17" s="3">
        <f xml:space="preserve"> 74*43.1/1000</f>
        <v>3.1894</v>
      </c>
      <c r="C17" s="3">
        <f xml:space="preserve"> 74*43.1/1000</f>
        <v>3.1894</v>
      </c>
      <c r="D17" t="s">
        <v>208</v>
      </c>
      <c r="E17" s="29" t="s">
        <v>214</v>
      </c>
      <c r="F17" s="26" t="s">
        <v>215</v>
      </c>
    </row>
    <row r="18" spans="1:9" x14ac:dyDescent="0.35">
      <c r="A18" s="3" t="s">
        <v>278</v>
      </c>
      <c r="B18" s="34">
        <v>0.3</v>
      </c>
      <c r="C18" s="34">
        <v>0.3</v>
      </c>
      <c r="D18" t="s">
        <v>52</v>
      </c>
      <c r="E18" s="29" t="s">
        <v>222</v>
      </c>
      <c r="F18" s="26" t="s">
        <v>83</v>
      </c>
      <c r="G18" t="s">
        <v>75</v>
      </c>
    </row>
    <row r="19" spans="1:9" x14ac:dyDescent="0.35">
      <c r="A19" s="3" t="s">
        <v>279</v>
      </c>
      <c r="B19" s="34">
        <v>0.3</v>
      </c>
      <c r="C19" s="34">
        <v>0.3</v>
      </c>
      <c r="D19" t="s">
        <v>52</v>
      </c>
      <c r="E19" s="29" t="s">
        <v>221</v>
      </c>
      <c r="F19" s="26" t="s">
        <v>252</v>
      </c>
      <c r="G19" t="s">
        <v>250</v>
      </c>
    </row>
    <row r="20" spans="1:9" x14ac:dyDescent="0.35">
      <c r="A20" s="36" t="s">
        <v>280</v>
      </c>
      <c r="B20" s="34">
        <v>2</v>
      </c>
      <c r="C20" s="34">
        <v>2</v>
      </c>
      <c r="D20" t="s">
        <v>208</v>
      </c>
      <c r="E20" s="29" t="s">
        <v>224</v>
      </c>
      <c r="F20" s="26" t="s">
        <v>203</v>
      </c>
      <c r="G20" t="s">
        <v>204</v>
      </c>
      <c r="H20" s="35" t="s">
        <v>261</v>
      </c>
    </row>
    <row r="21" spans="1:9" x14ac:dyDescent="0.35">
      <c r="A21" s="3" t="s">
        <v>281</v>
      </c>
      <c r="B21" s="34">
        <v>2</v>
      </c>
      <c r="C21" s="34">
        <v>2</v>
      </c>
      <c r="D21" t="s">
        <v>208</v>
      </c>
      <c r="E21" s="29" t="s">
        <v>223</v>
      </c>
      <c r="F21" s="26" t="s">
        <v>251</v>
      </c>
      <c r="G21" s="28" t="s">
        <v>249</v>
      </c>
      <c r="I21" s="27"/>
    </row>
    <row r="22" spans="1:9" x14ac:dyDescent="0.35">
      <c r="A22" s="3" t="s">
        <v>289</v>
      </c>
      <c r="B22" s="34">
        <v>4.4999999999999998E-2</v>
      </c>
      <c r="C22" s="34">
        <v>4.4999999999999998E-2</v>
      </c>
      <c r="D22" t="s">
        <v>6</v>
      </c>
      <c r="E22" s="29" t="s">
        <v>292</v>
      </c>
      <c r="F22" s="32"/>
    </row>
    <row r="23" spans="1:9" x14ac:dyDescent="0.35">
      <c r="A23" s="21" t="s">
        <v>210</v>
      </c>
      <c r="B23" s="30">
        <v>15</v>
      </c>
      <c r="C23" s="30">
        <v>15</v>
      </c>
      <c r="D23" t="s">
        <v>6</v>
      </c>
      <c r="E23" s="29"/>
      <c r="F23" s="32"/>
    </row>
    <row r="24" spans="1:9" x14ac:dyDescent="0.35">
      <c r="A24" s="21" t="s">
        <v>220</v>
      </c>
      <c r="B24" s="30">
        <v>15</v>
      </c>
      <c r="C24" s="30">
        <v>15</v>
      </c>
      <c r="D24" t="s">
        <v>6</v>
      </c>
    </row>
    <row r="25" spans="1:9" x14ac:dyDescent="0.35">
      <c r="A25" s="31" t="s">
        <v>255</v>
      </c>
      <c r="B25" s="30">
        <v>0.1</v>
      </c>
      <c r="C25" s="30">
        <v>0.1</v>
      </c>
      <c r="D25" t="s">
        <v>6</v>
      </c>
    </row>
    <row r="26" spans="1:9" x14ac:dyDescent="0.35">
      <c r="A26" s="31" t="s">
        <v>256</v>
      </c>
      <c r="B26" s="30">
        <v>0.1</v>
      </c>
      <c r="C26" s="30">
        <v>0.1</v>
      </c>
      <c r="D26" t="s">
        <v>6</v>
      </c>
    </row>
    <row r="27" spans="1:9" x14ac:dyDescent="0.35">
      <c r="A27" s="21" t="s">
        <v>39</v>
      </c>
      <c r="B27" s="3">
        <f>B42</f>
        <v>195.68260000000001</v>
      </c>
      <c r="C27" s="3">
        <f>C42</f>
        <v>461.44260000000003</v>
      </c>
      <c r="D27" t="s">
        <v>211</v>
      </c>
      <c r="E27" s="23" t="s">
        <v>40</v>
      </c>
      <c r="F27" t="s">
        <v>186</v>
      </c>
      <c r="G27" s="2" t="s">
        <v>185</v>
      </c>
    </row>
    <row r="28" spans="1:9" x14ac:dyDescent="0.35">
      <c r="A28" s="21" t="s">
        <v>293</v>
      </c>
      <c r="B28" s="3">
        <f>2.5*10^(-17)</f>
        <v>2.5000000000000003E-17</v>
      </c>
      <c r="C28" s="3">
        <v>2.9999999999999997E-4</v>
      </c>
      <c r="D28" t="s">
        <v>6</v>
      </c>
      <c r="G28" s="2"/>
    </row>
    <row r="29" spans="1:9" x14ac:dyDescent="0.35">
      <c r="A29" s="21" t="s">
        <v>295</v>
      </c>
      <c r="B29" s="3">
        <v>2</v>
      </c>
      <c r="C29" s="3">
        <v>2</v>
      </c>
      <c r="D29" t="s">
        <v>6</v>
      </c>
      <c r="G29" s="2"/>
    </row>
    <row r="30" spans="1:9" x14ac:dyDescent="0.35">
      <c r="A30" s="21" t="s">
        <v>296</v>
      </c>
      <c r="B30" s="3">
        <v>3000</v>
      </c>
      <c r="C30" s="3">
        <v>2000</v>
      </c>
      <c r="D30" t="s">
        <v>294</v>
      </c>
      <c r="G30" s="2"/>
    </row>
    <row r="31" spans="1:9" x14ac:dyDescent="0.35">
      <c r="A31" s="21" t="s">
        <v>297</v>
      </c>
      <c r="B31" s="3">
        <v>300</v>
      </c>
      <c r="C31" s="3">
        <v>300</v>
      </c>
      <c r="G31" s="2"/>
    </row>
    <row r="32" spans="1:9" x14ac:dyDescent="0.35">
      <c r="A32" s="21" t="s">
        <v>298</v>
      </c>
      <c r="B32" s="3">
        <f>10^-8</f>
        <v>1E-8</v>
      </c>
      <c r="C32" s="3">
        <v>0.01</v>
      </c>
      <c r="G32" s="2"/>
    </row>
    <row r="34" spans="1:8" x14ac:dyDescent="0.35">
      <c r="A34" s="16" t="s">
        <v>167</v>
      </c>
      <c r="B34">
        <f>MAX(Timeseries!$C$2:$C$26)</f>
        <v>2.8500000000000001E-2</v>
      </c>
      <c r="C34">
        <f>MAX(Timeseries!$C$2:$C$26)</f>
        <v>2.8500000000000001E-2</v>
      </c>
    </row>
    <row r="35" spans="1:8" x14ac:dyDescent="0.35">
      <c r="A35" t="s">
        <v>163</v>
      </c>
      <c r="B35">
        <f>MAX(Timeseries!$I$2:$I$26)</f>
        <v>3.1320000000000001E-2</v>
      </c>
      <c r="C35">
        <f>MAX(Timeseries!$I$2:$I$26)</f>
        <v>3.1320000000000001E-2</v>
      </c>
      <c r="D35" t="s">
        <v>14</v>
      </c>
    </row>
    <row r="36" spans="1:8" x14ac:dyDescent="0.35">
      <c r="A36" t="s">
        <v>164</v>
      </c>
      <c r="B36">
        <f>MAX(Timeseries!$S$2:$S$26)</f>
        <v>300</v>
      </c>
      <c r="C36">
        <f>MAX(Timeseries!$S$2:$S$26)</f>
        <v>300</v>
      </c>
      <c r="D36" t="s">
        <v>19</v>
      </c>
    </row>
    <row r="37" spans="1:8" x14ac:dyDescent="0.35">
      <c r="A37" t="s">
        <v>168</v>
      </c>
      <c r="B37" t="e">
        <f>MIN(Timeseries!#REF!)</f>
        <v>#REF!</v>
      </c>
      <c r="C37" t="e">
        <f>MIN(Timeseries!#REF!)</f>
        <v>#REF!</v>
      </c>
      <c r="F37" s="3" t="s">
        <v>51</v>
      </c>
      <c r="G37" s="34">
        <v>0.3</v>
      </c>
      <c r="H37" s="3">
        <v>0.1</v>
      </c>
    </row>
    <row r="38" spans="1:8" x14ac:dyDescent="0.35">
      <c r="A38" s="19" t="s">
        <v>161</v>
      </c>
      <c r="B38" s="19" t="e">
        <f>-B11+#REF!*B37*(1-B18)</f>
        <v>#REF!</v>
      </c>
      <c r="C38" s="19" t="e">
        <f>-C11+#REF!*C37*(1-C18)</f>
        <v>#REF!</v>
      </c>
      <c r="D38" t="s">
        <v>165</v>
      </c>
      <c r="F38" s="3" t="s">
        <v>179</v>
      </c>
      <c r="G38" s="3">
        <f>(1-86/(86+138)*0.85)</f>
        <v>0.67366071428571428</v>
      </c>
      <c r="H38" s="3">
        <f>(1-86/(86+138)*0.85)</f>
        <v>0.67366071428571428</v>
      </c>
    </row>
    <row r="39" spans="1:8" x14ac:dyDescent="0.35">
      <c r="A39" s="19" t="s">
        <v>162</v>
      </c>
      <c r="B39" s="19" t="e">
        <f>((#REF!*B35 +#REF!* B21*B36 +#REF!*  B21*#REF!) - (#REF!*B34 +#REF! *#REF! *B36 +#REF! *#REF!*#REF!)*#REF!)/#REF!</f>
        <v>#REF!</v>
      </c>
      <c r="C39" s="19" t="e">
        <f>((#REF!*C35 +#REF!* C21*C36 +#REF!*  C21*#REF!) - (#REF!*C34 +#REF! *#REF! *C36 +#REF! *#REF!*C36)*#REF!)/#REF!</f>
        <v>#REF!</v>
      </c>
      <c r="D39" t="s">
        <v>165</v>
      </c>
      <c r="F39" s="36" t="s">
        <v>46</v>
      </c>
      <c r="G39" s="34">
        <v>2</v>
      </c>
      <c r="H39" s="3">
        <v>2.1</v>
      </c>
    </row>
    <row r="40" spans="1:8" x14ac:dyDescent="0.35">
      <c r="A40" t="s">
        <v>268</v>
      </c>
      <c r="B40">
        <v>0.5</v>
      </c>
      <c r="C40">
        <v>0.5</v>
      </c>
      <c r="F40" s="3" t="s">
        <v>47</v>
      </c>
      <c r="G40" s="3">
        <f>7.46*0.667</f>
        <v>4.9758200000000006</v>
      </c>
      <c r="H40" s="3">
        <f>(0.086+0.138)/(4*0.0339866)</f>
        <v>1.6477082144139161</v>
      </c>
    </row>
    <row r="41" spans="1:8" x14ac:dyDescent="0.35">
      <c r="A41" t="s">
        <v>258</v>
      </c>
      <c r="B41">
        <f>(B8*B20*(1-Parameters!B18) +B10)/Parameters!B4+B13*Timeseries!H2+Parameters!B16*Timeseries!C2+(Parameters!B11+Parameters!B12)*B20*(1-B18) + Timeseries!J2*B20*B18</f>
        <v>272.85836804747981</v>
      </c>
      <c r="C41">
        <f>(C8*C20*(1-Parameters!C18) +C10)/Parameters!C4+C13*Timeseries!I2+Parameters!C16*Timeseries!D2+(Parameters!C11+Parameters!C12)*C20*(1-C18) + Timeseries!K2*C20*C18</f>
        <v>249598.07394460219</v>
      </c>
      <c r="D41" t="s">
        <v>211</v>
      </c>
    </row>
    <row r="42" spans="1:8" x14ac:dyDescent="0.35">
      <c r="A42" t="s">
        <v>259</v>
      </c>
      <c r="B42">
        <f>B13*Timeseries!I2+B20*50</f>
        <v>195.68260000000001</v>
      </c>
      <c r="C42">
        <f>(C10)/Parameters!C4+C13*Timeseries!I2+C20*Timeseries!K2</f>
        <v>461.44260000000003</v>
      </c>
      <c r="D42" t="s">
        <v>211</v>
      </c>
    </row>
    <row r="43" spans="1:8" x14ac:dyDescent="0.35">
      <c r="A43" t="s">
        <v>260</v>
      </c>
      <c r="B43" t="e">
        <f>#REF!/#REF!+#REF!*Timeseries!I2+B21*Timeseries!J2</f>
        <v>#REF!</v>
      </c>
      <c r="C43" t="e">
        <f>#REF!/#REF!+#REF!*Timeseries!I2+C21*Timeseries!J2</f>
        <v>#REF!</v>
      </c>
      <c r="D43" t="s">
        <v>211</v>
      </c>
    </row>
    <row r="44" spans="1:8" x14ac:dyDescent="0.35">
      <c r="A44" t="s">
        <v>265</v>
      </c>
      <c r="B44" t="e">
        <f>#REF!/B4+B12/2*#REF!+#REF!*#REF!*Parameters!C2</f>
        <v>#REF!</v>
      </c>
      <c r="C44" t="e">
        <f>#REF!/C4+C12/2*#REF!+#REF!*#REF!*Parameters!C2</f>
        <v>#REF!</v>
      </c>
      <c r="D44" t="s">
        <v>211</v>
      </c>
    </row>
    <row r="46" spans="1:8" ht="19" customHeight="1" x14ac:dyDescent="0.35">
      <c r="A46" t="s">
        <v>269</v>
      </c>
      <c r="B46" t="e">
        <f>#REF!*#REF!/#REF!</f>
        <v>#REF!</v>
      </c>
      <c r="C46" t="e">
        <f>#REF!*#REF!/#REF!</f>
        <v>#REF!</v>
      </c>
    </row>
    <row r="47" spans="1:8" x14ac:dyDescent="0.35">
      <c r="A47" t="s">
        <v>270</v>
      </c>
      <c r="B47" t="e">
        <f>B46*B3/B27</f>
        <v>#REF!</v>
      </c>
      <c r="C47" t="e">
        <f>C46*C3/C27</f>
        <v>#REF!</v>
      </c>
    </row>
    <row r="48" spans="1:8" x14ac:dyDescent="0.35">
      <c r="A48" t="s">
        <v>273</v>
      </c>
      <c r="B48" t="e">
        <f>(0.3*B21-#REF!)/(#REF!*#REF!)</f>
        <v>#REF!</v>
      </c>
    </row>
    <row r="49" spans="1:2" x14ac:dyDescent="0.35">
      <c r="A49" t="s">
        <v>274</v>
      </c>
      <c r="B49" t="e">
        <f>Parameters!B48/Timeseries!AB2</f>
        <v>#REF!</v>
      </c>
    </row>
  </sheetData>
  <hyperlinks>
    <hyperlink ref="F12" r:id="rId1" display="https://doi.org/10.1021/acs.est.7b01723" xr:uid="{B7B6C1BF-70D6-4F2F-AB70-2B41CF1D98C4}"/>
    <hyperlink ref="F11" r:id="rId2" xr:uid="{CEB64B4F-05B0-4234-A718-068E2CEEF3AB}"/>
    <hyperlink ref="F8" r:id="rId3" tooltip="Persistent link using digital object identifier" display="https://doi.org/10.1016/j.fuel.2022.127074" xr:uid="{A76EA226-80C0-4824-88A0-F40996E8B8C4}"/>
    <hyperlink ref="F13" r:id="rId4" xr:uid="{C563DB9E-0BF8-458D-8314-4352F4E26024}"/>
    <hyperlink ref="F20" r:id="rId5" xr:uid="{7E270DA5-A232-46DA-BFB9-6552AB5774E6}"/>
    <hyperlink ref="G27" r:id="rId6" xr:uid="{78B61C28-638D-4871-856C-94A1B3DA9B0E}"/>
    <hyperlink ref="F21" r:id="rId7" tooltip="Persistent link using digital object identifier" display="https://doi.org/10.1016/j.enconman.2012.09.026" xr:uid="{F7356BF5-3DDB-4F31-8997-5E33FAE1C3F3}"/>
    <hyperlink ref="F19" r:id="rId8" tooltip="Persistent link using digital object identifier" display="https://doi.org/10.1016/j.enconman.2012.09.026" xr:uid="{4F9A1C21-811B-4239-AD5C-618A837A2912}"/>
    <hyperlink ref="F16" r:id="rId9" tooltip="Persistent link using digital object identifier" xr:uid="{193A9267-6D2F-4A3E-937A-1159D70A3E45}"/>
    <hyperlink ref="F9" r:id="rId10" xr:uid="{16B5CB58-594C-442A-B52F-702DF6937AFF}"/>
    <hyperlink ref="F15" r:id="rId11" tooltip="Persistent link using digital object identifier" xr:uid="{DE03A7BB-9E8D-423D-8CF4-1BF585BA2AD0}"/>
    <hyperlink ref="F18" r:id="rId12" xr:uid="{1515FF21-B103-44F3-BC34-6E6FFD7CFAA9}"/>
    <hyperlink ref="F17" r:id="rId13" xr:uid="{5C5E7558-7053-4E9E-A7FF-2843FB36FF63}"/>
    <hyperlink ref="H20" r:id="rId14" xr:uid="{3B291D95-7529-4A96-A376-D034138C5776}"/>
    <hyperlink ref="F10" r:id="rId15" xr:uid="{51046C7E-0B73-4628-82D6-B0DE4304A868}"/>
  </hyperlinks>
  <pageMargins left="0.7" right="0.7" top="0.75" bottom="0.75" header="0.3" footer="0.3"/>
  <pageSetup orientation="portrait" r:id="rId16"/>
  <legacyDrawing r:id="rId1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2388-394C-462B-AFF8-30CA472C3966}">
  <dimension ref="A1:AC101"/>
  <sheetViews>
    <sheetView topLeftCell="A67" zoomScale="85" zoomScaleNormal="85" workbookViewId="0">
      <selection activeCell="E7" sqref="E7:E101"/>
    </sheetView>
  </sheetViews>
  <sheetFormatPr defaultRowHeight="14.5" x14ac:dyDescent="0.35"/>
  <cols>
    <col min="3" max="3" width="20.1796875" bestFit="1" customWidth="1"/>
    <col min="4" max="4" width="35.54296875" bestFit="1" customWidth="1"/>
    <col min="5" max="5" width="35.54296875" customWidth="1"/>
    <col min="6" max="7" width="29.7265625" customWidth="1"/>
    <col min="8" max="8" width="12" bestFit="1" customWidth="1"/>
    <col min="9" max="9" width="15.81640625" bestFit="1" customWidth="1"/>
    <col min="10" max="10" width="24.54296875" bestFit="1" customWidth="1"/>
    <col min="11" max="11" width="37.81640625" customWidth="1"/>
    <col min="14" max="14" width="18.453125" customWidth="1"/>
    <col min="15" max="15" width="16.81640625" bestFit="1" customWidth="1"/>
    <col min="16" max="16" width="24.54296875" bestFit="1" customWidth="1"/>
    <col min="17" max="17" width="15.81640625" bestFit="1" customWidth="1"/>
    <col min="18" max="18" width="40.1796875" bestFit="1" customWidth="1"/>
    <col min="19" max="21" width="24.54296875" bestFit="1" customWidth="1"/>
    <col min="24" max="24" width="20.1796875" bestFit="1" customWidth="1"/>
    <col min="28" max="28" width="35.54296875" bestFit="1" customWidth="1"/>
  </cols>
  <sheetData>
    <row r="1" spans="1:29" x14ac:dyDescent="0.35">
      <c r="A1" s="1" t="s">
        <v>182</v>
      </c>
      <c r="B1" s="1" t="s">
        <v>130</v>
      </c>
      <c r="C1" s="3" t="s">
        <v>131</v>
      </c>
      <c r="D1" s="3" t="s">
        <v>290</v>
      </c>
      <c r="E1" s="3" t="s">
        <v>299</v>
      </c>
      <c r="F1" s="3" t="s">
        <v>322</v>
      </c>
      <c r="G1" s="3" t="s">
        <v>324</v>
      </c>
      <c r="H1" s="3" t="s">
        <v>157</v>
      </c>
      <c r="I1" s="3" t="s">
        <v>158</v>
      </c>
      <c r="J1" s="3" t="s">
        <v>132</v>
      </c>
      <c r="K1" s="2" t="s">
        <v>181</v>
      </c>
      <c r="N1" s="18" t="s">
        <v>134</v>
      </c>
      <c r="O1" s="1" t="s">
        <v>133</v>
      </c>
      <c r="P1" s="1" t="s">
        <v>156</v>
      </c>
      <c r="Q1" s="1" t="s">
        <v>159</v>
      </c>
      <c r="R1" s="1" t="s">
        <v>247</v>
      </c>
      <c r="S1" s="1" t="s">
        <v>166</v>
      </c>
      <c r="U1" s="3" t="s">
        <v>132</v>
      </c>
      <c r="V1" s="3" t="s">
        <v>132</v>
      </c>
      <c r="W1" s="3" t="s">
        <v>132</v>
      </c>
      <c r="X1" s="3" t="s">
        <v>266</v>
      </c>
      <c r="AA1" t="s">
        <v>267</v>
      </c>
      <c r="AB1" s="3" t="s">
        <v>271</v>
      </c>
      <c r="AC1" t="s">
        <v>272</v>
      </c>
    </row>
    <row r="2" spans="1:29" x14ac:dyDescent="0.35">
      <c r="A2">
        <v>0</v>
      </c>
      <c r="B2" s="37">
        <v>2024</v>
      </c>
      <c r="C2">
        <f>Parameters!$B$40*Timeseries!AA2</f>
        <v>1.95E-2</v>
      </c>
      <c r="D2">
        <v>1500</v>
      </c>
      <c r="E2">
        <v>0</v>
      </c>
      <c r="F2">
        <v>0</v>
      </c>
      <c r="G2">
        <v>0</v>
      </c>
      <c r="H2">
        <f>P2/1000</f>
        <v>2.3050000000000001E-2</v>
      </c>
      <c r="I2">
        <f>Q2/1000</f>
        <v>3.1320000000000001E-2</v>
      </c>
      <c r="J2" s="25">
        <f>150*(1+Parameters!$B$7)^A2</f>
        <v>150</v>
      </c>
      <c r="K2" s="25">
        <f>(170)</f>
        <v>170</v>
      </c>
      <c r="N2">
        <v>83</v>
      </c>
      <c r="O2">
        <v>51.98</v>
      </c>
      <c r="P2">
        <v>23.05</v>
      </c>
      <c r="Q2">
        <v>31.32</v>
      </c>
      <c r="R2">
        <f>165/1000000</f>
        <v>1.65E-4</v>
      </c>
      <c r="S2">
        <v>100</v>
      </c>
      <c r="U2">
        <v>100</v>
      </c>
      <c r="V2">
        <f t="shared" ref="V2:V27" si="0" xml:space="preserve"> 100 + 200/24*$A2</f>
        <v>100</v>
      </c>
      <c r="W2">
        <f>100*(1+Parameters!$B$7)^$A2</f>
        <v>100</v>
      </c>
      <c r="X2">
        <f>2.7*0.039</f>
        <v>0.1053</v>
      </c>
      <c r="Y2">
        <f>X2/2.7</f>
        <v>3.9E-2</v>
      </c>
      <c r="Z2">
        <f>Y2*0.5</f>
        <v>1.95E-2</v>
      </c>
      <c r="AA2">
        <f>0.039</f>
        <v>3.9E-2</v>
      </c>
      <c r="AB2">
        <f>186/1000000</f>
        <v>1.8599999999999999E-4</v>
      </c>
      <c r="AC2">
        <f t="shared" ref="AC2:AC28" si="1">C2-150*D2</f>
        <v>-224999.98050000001</v>
      </c>
    </row>
    <row r="3" spans="1:29" x14ac:dyDescent="0.35">
      <c r="A3">
        <v>1</v>
      </c>
      <c r="B3">
        <v>2025</v>
      </c>
      <c r="C3">
        <f>Parameters!$B$40*Timeseries!AA3</f>
        <v>2.1000000000000001E-2</v>
      </c>
      <c r="D3">
        <f>MAX(0,D2-Parameters!$B$22*$D$2)</f>
        <v>1432.5</v>
      </c>
      <c r="E3">
        <v>0</v>
      </c>
      <c r="F3">
        <f t="shared" ref="F3:F23" si="2">($F$24-0)/($B$24 -$B$2)*(B3-$B$2)</f>
        <v>6.8181818181818179E-3</v>
      </c>
      <c r="G3">
        <f>($G$48-0)/($B$48 -$B$2)*(B3-$B$2)</f>
        <v>2.1739130434782608E-2</v>
      </c>
      <c r="H3">
        <v>2.3050000000000001E-2</v>
      </c>
      <c r="I3">
        <v>3.1320000000000001E-2</v>
      </c>
      <c r="J3" s="25">
        <f>150*(1+Parameters!$B$7)^A3</f>
        <v>159</v>
      </c>
      <c r="K3" s="25">
        <f>(170)</f>
        <v>170</v>
      </c>
      <c r="N3">
        <v>85.5</v>
      </c>
      <c r="O3">
        <v>51.98</v>
      </c>
      <c r="P3">
        <v>23.05</v>
      </c>
      <c r="Q3">
        <v>31.32</v>
      </c>
      <c r="R3">
        <f t="shared" ref="R3:R6" si="3">165/1000000</f>
        <v>1.65E-4</v>
      </c>
      <c r="S3">
        <v>100</v>
      </c>
      <c r="U3">
        <v>100</v>
      </c>
      <c r="V3">
        <f t="shared" si="0"/>
        <v>108.33333333333333</v>
      </c>
      <c r="W3">
        <f>100*(1+Parameters!$B$7)^$A3</f>
        <v>106</v>
      </c>
      <c r="X3">
        <f t="shared" ref="X3:X6" si="4">2.7*0.039</f>
        <v>0.1053</v>
      </c>
      <c r="Y3">
        <f t="shared" ref="Y3:Y26" si="5">X3/2.7</f>
        <v>3.9E-2</v>
      </c>
      <c r="Z3">
        <f t="shared" ref="Z3:Z26" si="6">Y3*0.5</f>
        <v>1.95E-2</v>
      </c>
      <c r="AA3">
        <f>($AA$7-$AA$2)/($A$7-0)*(A3-0)+$AA$2</f>
        <v>4.2000000000000003E-2</v>
      </c>
      <c r="AB3">
        <f t="shared" ref="AB3:AB6" si="7">186/1000000</f>
        <v>1.8599999999999999E-4</v>
      </c>
      <c r="AC3">
        <f t="shared" si="1"/>
        <v>-214874.97899999999</v>
      </c>
    </row>
    <row r="4" spans="1:29" x14ac:dyDescent="0.35">
      <c r="A4">
        <v>2</v>
      </c>
      <c r="B4">
        <v>2026</v>
      </c>
      <c r="C4">
        <f>Parameters!$B$40*Timeseries!AA4</f>
        <v>2.2499999999999999E-2</v>
      </c>
      <c r="D4">
        <f>MAX(0,D3-Parameters!$B$22*$D$2)</f>
        <v>1365</v>
      </c>
      <c r="E4">
        <v>0</v>
      </c>
      <c r="F4">
        <f t="shared" si="2"/>
        <v>1.3636363636363636E-2</v>
      </c>
      <c r="G4">
        <f t="shared" ref="G4:G47" si="8">($G$48-0)/($B$48 -$B$2)*(B4-$B$2)</f>
        <v>4.3478260869565216E-2</v>
      </c>
      <c r="H4">
        <v>2.3050000000000001E-2</v>
      </c>
      <c r="I4">
        <v>3.1320000000000001E-2</v>
      </c>
      <c r="J4" s="25">
        <f>150*(1+Parameters!$B$7)^A4</f>
        <v>168.54000000000002</v>
      </c>
      <c r="K4" s="25">
        <f>(170)</f>
        <v>170</v>
      </c>
      <c r="N4">
        <v>88</v>
      </c>
      <c r="O4">
        <v>51.98</v>
      </c>
      <c r="P4">
        <v>23.05</v>
      </c>
      <c r="Q4">
        <v>31.32</v>
      </c>
      <c r="R4">
        <f t="shared" si="3"/>
        <v>1.65E-4</v>
      </c>
      <c r="S4">
        <v>100</v>
      </c>
      <c r="U4">
        <v>100</v>
      </c>
      <c r="V4">
        <f t="shared" si="0"/>
        <v>116.66666666666667</v>
      </c>
      <c r="W4">
        <f>100*(1+Parameters!$B$7)^$A4</f>
        <v>112.36000000000001</v>
      </c>
      <c r="X4">
        <f t="shared" si="4"/>
        <v>0.1053</v>
      </c>
      <c r="Y4">
        <f t="shared" si="5"/>
        <v>3.9E-2</v>
      </c>
      <c r="Z4">
        <f t="shared" si="6"/>
        <v>1.95E-2</v>
      </c>
      <c r="AA4">
        <f>($AA$7-$AA$2)/($A$7-0)*(A4-0)+$AA$2</f>
        <v>4.4999999999999998E-2</v>
      </c>
      <c r="AB4">
        <f t="shared" si="7"/>
        <v>1.8599999999999999E-4</v>
      </c>
      <c r="AC4">
        <f t="shared" si="1"/>
        <v>-204749.97750000001</v>
      </c>
    </row>
    <row r="5" spans="1:29" x14ac:dyDescent="0.35">
      <c r="A5">
        <v>3</v>
      </c>
      <c r="B5">
        <v>2027</v>
      </c>
      <c r="C5">
        <f>Parameters!$B$40*Timeseries!AA5</f>
        <v>2.4E-2</v>
      </c>
      <c r="D5">
        <f>MAX(0,D4-Parameters!$B$22*$D$2)</f>
        <v>1297.5</v>
      </c>
      <c r="E5">
        <v>0</v>
      </c>
      <c r="F5">
        <f t="shared" si="2"/>
        <v>2.0454545454545454E-2</v>
      </c>
      <c r="G5">
        <f t="shared" si="8"/>
        <v>6.5217391304347824E-2</v>
      </c>
      <c r="H5">
        <v>2.3050000000000001E-2</v>
      </c>
      <c r="I5">
        <v>3.1320000000000001E-2</v>
      </c>
      <c r="J5" s="25">
        <f>150*(1+Parameters!$B$7)^A5</f>
        <v>178.65240000000006</v>
      </c>
      <c r="K5" s="25">
        <f>(170)</f>
        <v>170</v>
      </c>
      <c r="N5">
        <v>90.5</v>
      </c>
      <c r="O5">
        <v>51.98</v>
      </c>
      <c r="P5">
        <v>23.05</v>
      </c>
      <c r="Q5">
        <v>31.32</v>
      </c>
      <c r="R5">
        <f t="shared" si="3"/>
        <v>1.65E-4</v>
      </c>
      <c r="S5">
        <v>100</v>
      </c>
      <c r="U5">
        <v>100</v>
      </c>
      <c r="V5">
        <f t="shared" si="0"/>
        <v>125</v>
      </c>
      <c r="W5">
        <f>100*(1+Parameters!$B$7)^$A5</f>
        <v>119.10160000000003</v>
      </c>
      <c r="X5">
        <f t="shared" si="4"/>
        <v>0.1053</v>
      </c>
      <c r="Y5">
        <f t="shared" si="5"/>
        <v>3.9E-2</v>
      </c>
      <c r="Z5">
        <f t="shared" si="6"/>
        <v>1.95E-2</v>
      </c>
      <c r="AA5">
        <f>($AA$7-$AA$2)/($A$7-0)*(A5-0)+$AA$2</f>
        <v>4.8000000000000001E-2</v>
      </c>
      <c r="AB5">
        <f t="shared" si="7"/>
        <v>1.8599999999999999E-4</v>
      </c>
      <c r="AC5">
        <f t="shared" si="1"/>
        <v>-194624.976</v>
      </c>
    </row>
    <row r="6" spans="1:29" x14ac:dyDescent="0.35">
      <c r="A6">
        <v>4</v>
      </c>
      <c r="B6">
        <v>2028</v>
      </c>
      <c r="C6">
        <f>Parameters!$B$40*Timeseries!AA6</f>
        <v>2.5500000000000002E-2</v>
      </c>
      <c r="D6">
        <f>MAX(0,D5-Parameters!$B$22*$D$2)</f>
        <v>1230</v>
      </c>
      <c r="E6">
        <v>0</v>
      </c>
      <c r="F6">
        <f t="shared" si="2"/>
        <v>2.7272727272727271E-2</v>
      </c>
      <c r="G6">
        <f t="shared" si="8"/>
        <v>8.6956521739130432E-2</v>
      </c>
      <c r="H6">
        <v>2.3050000000000001E-2</v>
      </c>
      <c r="I6">
        <v>3.1320000000000001E-2</v>
      </c>
      <c r="J6" s="25">
        <f>150*(1+Parameters!$B$7)^A6</f>
        <v>189.37154400000006</v>
      </c>
      <c r="K6" s="25">
        <f>(170)</f>
        <v>170</v>
      </c>
      <c r="N6">
        <v>93</v>
      </c>
      <c r="O6">
        <v>51.98</v>
      </c>
      <c r="P6">
        <v>23.05</v>
      </c>
      <c r="Q6">
        <v>31.32</v>
      </c>
      <c r="R6">
        <f t="shared" si="3"/>
        <v>1.65E-4</v>
      </c>
      <c r="S6">
        <v>100</v>
      </c>
      <c r="U6">
        <v>100</v>
      </c>
      <c r="V6">
        <f t="shared" si="0"/>
        <v>133.33333333333334</v>
      </c>
      <c r="W6">
        <f>100*(1+Parameters!$B$7)^$A6</f>
        <v>126.24769600000003</v>
      </c>
      <c r="X6">
        <f t="shared" si="4"/>
        <v>0.1053</v>
      </c>
      <c r="Y6">
        <f t="shared" si="5"/>
        <v>3.9E-2</v>
      </c>
      <c r="Z6">
        <f t="shared" si="6"/>
        <v>1.95E-2</v>
      </c>
      <c r="AA6">
        <f>($AA$7-$AA$2)/($A$7-0)*(A6-0)+$AA$2</f>
        <v>5.1000000000000004E-2</v>
      </c>
      <c r="AB6">
        <f t="shared" si="7"/>
        <v>1.8599999999999999E-4</v>
      </c>
      <c r="AC6">
        <f t="shared" si="1"/>
        <v>-184499.97450000001</v>
      </c>
    </row>
    <row r="7" spans="1:29" x14ac:dyDescent="0.35">
      <c r="A7">
        <v>5</v>
      </c>
      <c r="B7">
        <v>2029</v>
      </c>
      <c r="C7">
        <f>Parameters!$B$40*Timeseries!AA7</f>
        <v>2.7E-2</v>
      </c>
      <c r="D7">
        <f>MAX(0,D6-Parameters!$B$22*$D$2)</f>
        <v>1162.5</v>
      </c>
      <c r="E7">
        <f>MIN((B7-$B$6)*35,300)</f>
        <v>35</v>
      </c>
      <c r="F7">
        <f t="shared" si="2"/>
        <v>3.4090909090909088E-2</v>
      </c>
      <c r="G7">
        <f t="shared" si="8"/>
        <v>0.10869565217391304</v>
      </c>
      <c r="H7">
        <v>1.12E-2</v>
      </c>
      <c r="I7">
        <v>3.1320000000000001E-2</v>
      </c>
      <c r="J7" s="25">
        <f>150*(1+Parameters!$B$7)^A7</f>
        <v>200.73383664000008</v>
      </c>
      <c r="K7" s="25">
        <f>(170)</f>
        <v>170</v>
      </c>
      <c r="N7">
        <v>95.5</v>
      </c>
      <c r="O7">
        <v>52.56</v>
      </c>
      <c r="P7">
        <v>11.2</v>
      </c>
      <c r="Q7">
        <v>31.32</v>
      </c>
      <c r="S7">
        <v>150</v>
      </c>
      <c r="U7">
        <v>150</v>
      </c>
      <c r="V7">
        <f t="shared" si="0"/>
        <v>141.66666666666669</v>
      </c>
      <c r="W7">
        <f>100*(1+Parameters!$B$7)^$A7</f>
        <v>133.82255776000005</v>
      </c>
      <c r="X7">
        <f>2.7*0.054</f>
        <v>0.14580000000000001</v>
      </c>
      <c r="Y7">
        <f t="shared" si="5"/>
        <v>5.3999999999999999E-2</v>
      </c>
      <c r="Z7">
        <f t="shared" si="6"/>
        <v>2.7E-2</v>
      </c>
      <c r="AA7">
        <f>0.054</f>
        <v>5.3999999999999999E-2</v>
      </c>
      <c r="AB7">
        <f>132/1000000</f>
        <v>1.3200000000000001E-4</v>
      </c>
      <c r="AC7">
        <f t="shared" si="1"/>
        <v>-174374.973</v>
      </c>
    </row>
    <row r="8" spans="1:29" x14ac:dyDescent="0.35">
      <c r="A8">
        <v>6</v>
      </c>
      <c r="B8">
        <v>2030</v>
      </c>
      <c r="C8">
        <f>Parameters!$B$40*Timeseries!AA8</f>
        <v>2.7150000000000001E-2</v>
      </c>
      <c r="D8">
        <f>MAX(0,D7-Parameters!$B$22*$D$2)</f>
        <v>1095</v>
      </c>
      <c r="E8">
        <f t="shared" ref="E8:E71" si="9">MIN((B8-$B$6)*35,300)</f>
        <v>70</v>
      </c>
      <c r="F8">
        <f t="shared" si="2"/>
        <v>4.0909090909090909E-2</v>
      </c>
      <c r="G8">
        <f t="shared" si="8"/>
        <v>0.13043478260869565</v>
      </c>
      <c r="H8">
        <v>1.12E-2</v>
      </c>
      <c r="I8">
        <v>3.1320000000000001E-2</v>
      </c>
      <c r="J8" s="25">
        <f>150*(1+Parameters!$B$7)^A8</f>
        <v>212.77786683840009</v>
      </c>
      <c r="K8" s="25">
        <f>(170)</f>
        <v>170</v>
      </c>
      <c r="N8">
        <v>98</v>
      </c>
      <c r="O8">
        <v>52.56</v>
      </c>
      <c r="P8">
        <v>11.2</v>
      </c>
      <c r="Q8">
        <v>31.32</v>
      </c>
      <c r="S8">
        <v>150</v>
      </c>
      <c r="U8">
        <v>150</v>
      </c>
      <c r="V8">
        <f t="shared" si="0"/>
        <v>150</v>
      </c>
      <c r="W8">
        <f>100*(1+Parameters!$B$7)^$A8</f>
        <v>141.85191122560005</v>
      </c>
      <c r="X8">
        <f t="shared" ref="X8:X16" si="10">2.7*0.054</f>
        <v>0.14580000000000001</v>
      </c>
      <c r="Y8">
        <f t="shared" si="5"/>
        <v>5.3999999999999999E-2</v>
      </c>
      <c r="Z8">
        <f t="shared" si="6"/>
        <v>2.7E-2</v>
      </c>
      <c r="AA8">
        <f t="shared" ref="AA8:AA16" si="11">($AA$17-$AA$7)/($A$17-$A$7)*(A8-$A$7)+$AA$7</f>
        <v>5.4300000000000001E-2</v>
      </c>
      <c r="AB8">
        <f t="shared" ref="AB8:AB11" si="12">132/1000000</f>
        <v>1.3200000000000001E-4</v>
      </c>
      <c r="AC8">
        <f t="shared" si="1"/>
        <v>-164249.97284999999</v>
      </c>
    </row>
    <row r="9" spans="1:29" x14ac:dyDescent="0.35">
      <c r="A9">
        <v>7</v>
      </c>
      <c r="B9">
        <v>2031</v>
      </c>
      <c r="C9">
        <f>Parameters!$B$40*Timeseries!AA9</f>
        <v>2.7300000000000001E-2</v>
      </c>
      <c r="D9">
        <f>MAX(0,D8-Parameters!$B$22*$D$2)</f>
        <v>1027.5</v>
      </c>
      <c r="E9">
        <f t="shared" si="9"/>
        <v>105</v>
      </c>
      <c r="F9">
        <f t="shared" si="2"/>
        <v>4.7727272727272722E-2</v>
      </c>
      <c r="G9">
        <f t="shared" si="8"/>
        <v>0.15217391304347827</v>
      </c>
      <c r="H9">
        <v>1.12E-2</v>
      </c>
      <c r="I9">
        <v>3.1320000000000001E-2</v>
      </c>
      <c r="J9" s="25">
        <f>150*(1+Parameters!$B$7)^A9</f>
        <v>225.54453884870412</v>
      </c>
      <c r="K9" s="25">
        <f>(170)</f>
        <v>170</v>
      </c>
      <c r="N9">
        <v>100.5</v>
      </c>
      <c r="O9">
        <v>52.56</v>
      </c>
      <c r="P9">
        <v>11.2</v>
      </c>
      <c r="Q9">
        <v>31.32</v>
      </c>
      <c r="S9">
        <v>150</v>
      </c>
      <c r="U9">
        <v>150</v>
      </c>
      <c r="V9">
        <f t="shared" si="0"/>
        <v>158.33333333333334</v>
      </c>
      <c r="W9">
        <f>100*(1+Parameters!$B$7)^$A9</f>
        <v>150.36302589913609</v>
      </c>
      <c r="X9">
        <f t="shared" si="10"/>
        <v>0.14580000000000001</v>
      </c>
      <c r="Y9">
        <f t="shared" si="5"/>
        <v>5.3999999999999999E-2</v>
      </c>
      <c r="Z9">
        <f t="shared" si="6"/>
        <v>2.7E-2</v>
      </c>
      <c r="AA9">
        <f t="shared" si="11"/>
        <v>5.4600000000000003E-2</v>
      </c>
      <c r="AB9">
        <f t="shared" si="12"/>
        <v>1.3200000000000001E-4</v>
      </c>
      <c r="AC9">
        <f t="shared" si="1"/>
        <v>-154124.97270000001</v>
      </c>
    </row>
    <row r="10" spans="1:29" x14ac:dyDescent="0.35">
      <c r="A10">
        <v>8</v>
      </c>
      <c r="B10">
        <v>2032</v>
      </c>
      <c r="C10">
        <f>Parameters!$B$40*Timeseries!AA10</f>
        <v>2.7449999999999999E-2</v>
      </c>
      <c r="D10">
        <f>MAX(0,D9-Parameters!$B$22*$D$2)</f>
        <v>960</v>
      </c>
      <c r="E10">
        <f t="shared" si="9"/>
        <v>140</v>
      </c>
      <c r="F10">
        <f t="shared" si="2"/>
        <v>5.4545454545454543E-2</v>
      </c>
      <c r="G10">
        <f t="shared" si="8"/>
        <v>0.17391304347826086</v>
      </c>
      <c r="H10">
        <v>1.12E-2</v>
      </c>
      <c r="I10">
        <v>3.1320000000000001E-2</v>
      </c>
      <c r="J10" s="25">
        <f>150*(1+Parameters!$B$7)^A10</f>
        <v>239.07721117962635</v>
      </c>
      <c r="K10" s="25">
        <f>(170)</f>
        <v>170</v>
      </c>
      <c r="N10">
        <v>103</v>
      </c>
      <c r="O10">
        <v>52.56</v>
      </c>
      <c r="P10">
        <v>11.2</v>
      </c>
      <c r="Q10">
        <v>31.32</v>
      </c>
      <c r="S10">
        <v>150</v>
      </c>
      <c r="U10">
        <v>150</v>
      </c>
      <c r="V10">
        <f t="shared" si="0"/>
        <v>166.66666666666669</v>
      </c>
      <c r="W10">
        <f>100*(1+Parameters!$B$7)^$A10</f>
        <v>159.38480745308422</v>
      </c>
      <c r="X10">
        <f t="shared" si="10"/>
        <v>0.14580000000000001</v>
      </c>
      <c r="Y10">
        <f t="shared" si="5"/>
        <v>5.3999999999999999E-2</v>
      </c>
      <c r="Z10">
        <f t="shared" si="6"/>
        <v>2.7E-2</v>
      </c>
      <c r="AA10">
        <f t="shared" si="11"/>
        <v>5.4899999999999997E-2</v>
      </c>
      <c r="AB10">
        <f t="shared" si="12"/>
        <v>1.3200000000000001E-4</v>
      </c>
      <c r="AC10">
        <f t="shared" si="1"/>
        <v>-143999.97255000001</v>
      </c>
    </row>
    <row r="11" spans="1:29" x14ac:dyDescent="0.35">
      <c r="A11">
        <v>9</v>
      </c>
      <c r="B11">
        <v>2033</v>
      </c>
      <c r="C11">
        <f>Parameters!$B$40*Timeseries!AA11</f>
        <v>2.76E-2</v>
      </c>
      <c r="D11">
        <f>MAX(0,D10-Parameters!$B$22*$D$2)</f>
        <v>892.5</v>
      </c>
      <c r="E11">
        <f t="shared" si="9"/>
        <v>175</v>
      </c>
      <c r="F11">
        <f t="shared" si="2"/>
        <v>6.1363636363636363E-2</v>
      </c>
      <c r="G11">
        <f t="shared" si="8"/>
        <v>0.19565217391304346</v>
      </c>
      <c r="H11">
        <v>1.12E-2</v>
      </c>
      <c r="I11">
        <v>3.1320000000000001E-2</v>
      </c>
      <c r="J11" s="25">
        <f>150*(1+Parameters!$B$7)^A11</f>
        <v>253.42184385040392</v>
      </c>
      <c r="K11" s="25">
        <f>(170)</f>
        <v>170</v>
      </c>
      <c r="N11">
        <v>105.5</v>
      </c>
      <c r="O11">
        <v>52.56</v>
      </c>
      <c r="P11">
        <v>11.2</v>
      </c>
      <c r="Q11">
        <v>31.32</v>
      </c>
      <c r="S11">
        <v>150</v>
      </c>
      <c r="U11">
        <v>150</v>
      </c>
      <c r="V11">
        <f t="shared" si="0"/>
        <v>175</v>
      </c>
      <c r="W11">
        <f>100*(1+Parameters!$B$7)^$A11</f>
        <v>168.94789590026929</v>
      </c>
      <c r="X11">
        <f>2.7*0.054</f>
        <v>0.14580000000000001</v>
      </c>
      <c r="Y11">
        <f t="shared" si="5"/>
        <v>5.3999999999999999E-2</v>
      </c>
      <c r="Z11">
        <f t="shared" si="6"/>
        <v>2.7E-2</v>
      </c>
      <c r="AA11">
        <f t="shared" si="11"/>
        <v>5.5199999999999999E-2</v>
      </c>
      <c r="AB11">
        <f t="shared" si="12"/>
        <v>1.3200000000000001E-4</v>
      </c>
      <c r="AC11">
        <f t="shared" si="1"/>
        <v>-133874.9724</v>
      </c>
    </row>
    <row r="12" spans="1:29" x14ac:dyDescent="0.35">
      <c r="A12">
        <v>10</v>
      </c>
      <c r="B12">
        <v>2034</v>
      </c>
      <c r="C12">
        <f>Parameters!$B$40*Timeseries!AA12</f>
        <v>2.775E-2</v>
      </c>
      <c r="D12">
        <f>MAX(0,D11-Parameters!$B$22*$D$2)</f>
        <v>825</v>
      </c>
      <c r="E12">
        <f t="shared" si="9"/>
        <v>210</v>
      </c>
      <c r="F12">
        <f t="shared" si="2"/>
        <v>6.8181818181818177E-2</v>
      </c>
      <c r="G12">
        <f t="shared" si="8"/>
        <v>0.21739130434782608</v>
      </c>
      <c r="H12">
        <v>1.111E-2</v>
      </c>
      <c r="I12">
        <v>3.0960000000000001E-2</v>
      </c>
      <c r="J12" s="25">
        <f>150*(1+Parameters!$B$7)^A12</f>
        <v>268.62715448142819</v>
      </c>
      <c r="K12" s="25">
        <f>(170)</f>
        <v>170</v>
      </c>
      <c r="N12">
        <v>108</v>
      </c>
      <c r="O12">
        <v>51.37</v>
      </c>
      <c r="P12">
        <v>11.11</v>
      </c>
      <c r="Q12">
        <v>30.96</v>
      </c>
      <c r="S12">
        <v>200</v>
      </c>
      <c r="U12">
        <v>200</v>
      </c>
      <c r="V12">
        <f t="shared" si="0"/>
        <v>183.33333333333334</v>
      </c>
      <c r="W12">
        <f>100*(1+Parameters!$B$7)^$A12</f>
        <v>179.08476965428545</v>
      </c>
      <c r="X12">
        <f t="shared" si="10"/>
        <v>0.14580000000000001</v>
      </c>
      <c r="Y12">
        <f t="shared" si="5"/>
        <v>5.3999999999999999E-2</v>
      </c>
      <c r="Z12">
        <f t="shared" si="6"/>
        <v>2.7E-2</v>
      </c>
      <c r="AA12">
        <f t="shared" si="11"/>
        <v>5.5500000000000001E-2</v>
      </c>
      <c r="AB12">
        <f>103/1000000</f>
        <v>1.03E-4</v>
      </c>
      <c r="AC12">
        <f t="shared" si="1"/>
        <v>-123749.97225000001</v>
      </c>
    </row>
    <row r="13" spans="1:29" x14ac:dyDescent="0.35">
      <c r="A13">
        <v>11</v>
      </c>
      <c r="B13">
        <v>2035</v>
      </c>
      <c r="C13">
        <f>Parameters!$B$40*Timeseries!AA13</f>
        <v>2.7900000000000001E-2</v>
      </c>
      <c r="D13">
        <f>MAX(0,D12-Parameters!$B$22*$D$2)</f>
        <v>757.5</v>
      </c>
      <c r="E13">
        <f t="shared" si="9"/>
        <v>245</v>
      </c>
      <c r="F13">
        <f t="shared" si="2"/>
        <v>7.4999999999999997E-2</v>
      </c>
      <c r="G13">
        <f t="shared" si="8"/>
        <v>0.2391304347826087</v>
      </c>
      <c r="H13">
        <v>1.111E-2</v>
      </c>
      <c r="I13">
        <v>3.0960000000000001E-2</v>
      </c>
      <c r="J13" s="25">
        <f>150*(1+Parameters!$B$7)^A13</f>
        <v>284.7447837503139</v>
      </c>
      <c r="K13" s="25">
        <f>(170)</f>
        <v>170</v>
      </c>
      <c r="N13">
        <v>110.5</v>
      </c>
      <c r="O13">
        <v>51.37</v>
      </c>
      <c r="P13">
        <v>11.11</v>
      </c>
      <c r="Q13">
        <v>30.96</v>
      </c>
      <c r="S13">
        <v>200</v>
      </c>
      <c r="U13">
        <v>200</v>
      </c>
      <c r="V13">
        <f t="shared" si="0"/>
        <v>191.66666666666669</v>
      </c>
      <c r="W13">
        <f>100*(1+Parameters!$B$7)^$A13</f>
        <v>189.82985583354261</v>
      </c>
      <c r="X13">
        <f t="shared" si="10"/>
        <v>0.14580000000000001</v>
      </c>
      <c r="Y13">
        <f t="shared" si="5"/>
        <v>5.3999999999999999E-2</v>
      </c>
      <c r="Z13">
        <f t="shared" si="6"/>
        <v>2.7E-2</v>
      </c>
      <c r="AA13">
        <f t="shared" si="11"/>
        <v>5.5800000000000002E-2</v>
      </c>
      <c r="AB13">
        <f t="shared" ref="AB13:AB16" si="13">103/1000000</f>
        <v>1.03E-4</v>
      </c>
      <c r="AC13">
        <f t="shared" si="1"/>
        <v>-113624.9721</v>
      </c>
    </row>
    <row r="14" spans="1:29" x14ac:dyDescent="0.35">
      <c r="A14">
        <v>12</v>
      </c>
      <c r="B14">
        <v>2036</v>
      </c>
      <c r="C14">
        <f>Parameters!$B$40*Timeseries!AA14</f>
        <v>2.8050000000000002E-2</v>
      </c>
      <c r="D14">
        <f>MAX(0,D13-Parameters!$B$22*$D$2)</f>
        <v>690</v>
      </c>
      <c r="E14">
        <f t="shared" si="9"/>
        <v>280</v>
      </c>
      <c r="F14">
        <f t="shared" si="2"/>
        <v>8.1818181818181818E-2</v>
      </c>
      <c r="G14">
        <f t="shared" si="8"/>
        <v>0.2608695652173913</v>
      </c>
      <c r="H14">
        <v>1.111E-2</v>
      </c>
      <c r="I14">
        <v>3.0960000000000001E-2</v>
      </c>
      <c r="J14" s="25">
        <f>150*(1+Parameters!$B$7)^A14</f>
        <v>301.82947077533277</v>
      </c>
      <c r="K14" s="25">
        <f>(170)</f>
        <v>170</v>
      </c>
      <c r="N14">
        <v>113</v>
      </c>
      <c r="O14">
        <v>51.37</v>
      </c>
      <c r="P14">
        <v>11.11</v>
      </c>
      <c r="Q14">
        <v>30.96</v>
      </c>
      <c r="S14">
        <v>200</v>
      </c>
      <c r="U14">
        <v>200</v>
      </c>
      <c r="V14">
        <f t="shared" si="0"/>
        <v>200</v>
      </c>
      <c r="W14">
        <f>100*(1+Parameters!$B$7)^$A14</f>
        <v>201.2196471835552</v>
      </c>
      <c r="X14">
        <f t="shared" si="10"/>
        <v>0.14580000000000001</v>
      </c>
      <c r="Y14">
        <f t="shared" si="5"/>
        <v>5.3999999999999999E-2</v>
      </c>
      <c r="Z14">
        <f t="shared" si="6"/>
        <v>2.7E-2</v>
      </c>
      <c r="AA14">
        <f t="shared" si="11"/>
        <v>5.6100000000000004E-2</v>
      </c>
      <c r="AB14">
        <f t="shared" si="13"/>
        <v>1.03E-4</v>
      </c>
      <c r="AC14">
        <f t="shared" si="1"/>
        <v>-103499.97195000001</v>
      </c>
    </row>
    <row r="15" spans="1:29" x14ac:dyDescent="0.35">
      <c r="A15">
        <v>13</v>
      </c>
      <c r="B15">
        <v>2037</v>
      </c>
      <c r="C15">
        <f>Parameters!$B$40*Timeseries!AA15</f>
        <v>2.8199999999999999E-2</v>
      </c>
      <c r="D15">
        <f>MAX(0,D14-Parameters!$B$22*$D$2)</f>
        <v>622.5</v>
      </c>
      <c r="E15">
        <f t="shared" si="9"/>
        <v>300</v>
      </c>
      <c r="F15">
        <f t="shared" si="2"/>
        <v>8.8636363636363638E-2</v>
      </c>
      <c r="G15">
        <f t="shared" si="8"/>
        <v>0.28260869565217389</v>
      </c>
      <c r="H15">
        <v>1.111E-2</v>
      </c>
      <c r="I15">
        <v>3.0960000000000001E-2</v>
      </c>
      <c r="J15" s="25">
        <f>150*(1+Parameters!$B$7)^A15</f>
        <v>319.93923902185276</v>
      </c>
      <c r="K15" s="25">
        <f>(170)</f>
        <v>170</v>
      </c>
      <c r="N15">
        <v>115.5</v>
      </c>
      <c r="O15">
        <v>51.37</v>
      </c>
      <c r="P15">
        <v>11.11</v>
      </c>
      <c r="Q15">
        <v>30.96</v>
      </c>
      <c r="S15">
        <v>200</v>
      </c>
      <c r="U15">
        <v>200</v>
      </c>
      <c r="V15">
        <f t="shared" si="0"/>
        <v>208.33333333333334</v>
      </c>
      <c r="W15">
        <f>100*(1+Parameters!$B$7)^$A15</f>
        <v>213.2928260145685</v>
      </c>
      <c r="X15">
        <f t="shared" si="10"/>
        <v>0.14580000000000001</v>
      </c>
      <c r="Y15">
        <f t="shared" si="5"/>
        <v>5.3999999999999999E-2</v>
      </c>
      <c r="Z15">
        <f t="shared" si="6"/>
        <v>2.7E-2</v>
      </c>
      <c r="AA15">
        <f t="shared" si="11"/>
        <v>5.6399999999999999E-2</v>
      </c>
      <c r="AB15">
        <f t="shared" si="13"/>
        <v>1.03E-4</v>
      </c>
      <c r="AC15">
        <f t="shared" si="1"/>
        <v>-93374.971799999999</v>
      </c>
    </row>
    <row r="16" spans="1:29" x14ac:dyDescent="0.35">
      <c r="A16">
        <v>14</v>
      </c>
      <c r="B16">
        <v>2038</v>
      </c>
      <c r="C16">
        <f>Parameters!$B$40*Timeseries!AA16</f>
        <v>2.835E-2</v>
      </c>
      <c r="D16">
        <f>MAX(0,D15-Parameters!$B$22*$D$2)</f>
        <v>555</v>
      </c>
      <c r="E16">
        <f t="shared" si="9"/>
        <v>300</v>
      </c>
      <c r="F16">
        <f t="shared" si="2"/>
        <v>9.5454545454545445E-2</v>
      </c>
      <c r="G16">
        <f t="shared" si="8"/>
        <v>0.30434782608695654</v>
      </c>
      <c r="H16">
        <v>1.111E-2</v>
      </c>
      <c r="I16">
        <v>3.0960000000000001E-2</v>
      </c>
      <c r="J16" s="25">
        <f>150*(1+Parameters!$B$7)^A16</f>
        <v>339.13559336316393</v>
      </c>
      <c r="K16" s="25">
        <f>(170)</f>
        <v>170</v>
      </c>
      <c r="N16">
        <v>118</v>
      </c>
      <c r="O16">
        <v>51.37</v>
      </c>
      <c r="P16">
        <v>11.11</v>
      </c>
      <c r="Q16">
        <v>30.96</v>
      </c>
      <c r="S16">
        <v>200</v>
      </c>
      <c r="U16">
        <v>200</v>
      </c>
      <c r="V16">
        <f t="shared" si="0"/>
        <v>216.66666666666669</v>
      </c>
      <c r="W16">
        <f>100*(1+Parameters!$B$7)^$A16</f>
        <v>226.09039557544261</v>
      </c>
      <c r="X16">
        <f t="shared" si="10"/>
        <v>0.14580000000000001</v>
      </c>
      <c r="Y16">
        <f t="shared" si="5"/>
        <v>5.3999999999999999E-2</v>
      </c>
      <c r="Z16">
        <f t="shared" si="6"/>
        <v>2.7E-2</v>
      </c>
      <c r="AA16">
        <f t="shared" si="11"/>
        <v>5.67E-2</v>
      </c>
      <c r="AB16">
        <f t="shared" si="13"/>
        <v>1.03E-4</v>
      </c>
      <c r="AC16">
        <f t="shared" si="1"/>
        <v>-83249.971650000007</v>
      </c>
    </row>
    <row r="17" spans="1:29" x14ac:dyDescent="0.35">
      <c r="A17">
        <v>15</v>
      </c>
      <c r="B17">
        <v>2039</v>
      </c>
      <c r="C17">
        <f>Parameters!$B$40*Timeseries!AA17</f>
        <v>2.8500000000000001E-2</v>
      </c>
      <c r="D17">
        <f>MAX(0,D16-Parameters!$B$22*$D$2)</f>
        <v>487.5</v>
      </c>
      <c r="E17">
        <f t="shared" si="9"/>
        <v>300</v>
      </c>
      <c r="F17">
        <f t="shared" si="2"/>
        <v>0.10227272727272727</v>
      </c>
      <c r="G17">
        <f t="shared" si="8"/>
        <v>0.32608695652173914</v>
      </c>
      <c r="H17">
        <v>1.12E-2</v>
      </c>
      <c r="I17">
        <v>3.024E-2</v>
      </c>
      <c r="J17" s="25">
        <f>150*(1+Parameters!$B$7)^A17</f>
        <v>359.48372896495385</v>
      </c>
      <c r="K17" s="25">
        <f>(170)</f>
        <v>170</v>
      </c>
      <c r="N17">
        <v>120.5</v>
      </c>
      <c r="O17">
        <v>50.18</v>
      </c>
      <c r="P17">
        <v>11.2</v>
      </c>
      <c r="Q17">
        <v>30.24</v>
      </c>
      <c r="S17">
        <v>250</v>
      </c>
      <c r="U17">
        <v>250</v>
      </c>
      <c r="V17">
        <f t="shared" si="0"/>
        <v>225</v>
      </c>
      <c r="W17">
        <f>100*(1+Parameters!$B$7)^$A17</f>
        <v>239.65581930996925</v>
      </c>
      <c r="X17">
        <f>2.7*0.057</f>
        <v>0.15390000000000001</v>
      </c>
      <c r="Y17">
        <f t="shared" si="5"/>
        <v>5.7000000000000002E-2</v>
      </c>
      <c r="Z17">
        <f t="shared" si="6"/>
        <v>2.8500000000000001E-2</v>
      </c>
      <c r="AA17">
        <v>5.7000000000000002E-2</v>
      </c>
      <c r="AB17">
        <f>81/1000000</f>
        <v>8.1000000000000004E-5</v>
      </c>
      <c r="AC17">
        <f t="shared" si="1"/>
        <v>-73124.9715</v>
      </c>
    </row>
    <row r="18" spans="1:29" x14ac:dyDescent="0.35">
      <c r="A18">
        <v>16</v>
      </c>
      <c r="B18">
        <v>2040</v>
      </c>
      <c r="C18">
        <f>Parameters!$B$40*Timeseries!AA18</f>
        <v>2.8500000000000001E-2</v>
      </c>
      <c r="D18">
        <f>MAX(0,D17-Parameters!$B$22*$D$2)</f>
        <v>420</v>
      </c>
      <c r="E18">
        <f t="shared" si="9"/>
        <v>300</v>
      </c>
      <c r="F18">
        <f t="shared" si="2"/>
        <v>0.10909090909090909</v>
      </c>
      <c r="G18">
        <f t="shared" si="8"/>
        <v>0.34782608695652173</v>
      </c>
      <c r="H18">
        <v>1.12E-2</v>
      </c>
      <c r="I18">
        <v>3.024E-2</v>
      </c>
      <c r="J18" s="25">
        <f>150*(1+Parameters!$B$7)^A18</f>
        <v>381.05275270285097</v>
      </c>
      <c r="K18" s="25">
        <f>(170)</f>
        <v>170</v>
      </c>
      <c r="N18">
        <v>123</v>
      </c>
      <c r="O18">
        <v>50.18</v>
      </c>
      <c r="P18">
        <v>11.2</v>
      </c>
      <c r="Q18">
        <v>30.24</v>
      </c>
      <c r="S18">
        <v>250</v>
      </c>
      <c r="U18">
        <v>250</v>
      </c>
      <c r="V18">
        <f t="shared" si="0"/>
        <v>233.33333333333334</v>
      </c>
      <c r="W18">
        <f>100*(1+Parameters!$B$7)^$A18</f>
        <v>254.03516846856732</v>
      </c>
      <c r="X18">
        <f t="shared" ref="X18:X28" si="14">2.7*0.057</f>
        <v>0.15390000000000001</v>
      </c>
      <c r="Y18">
        <f t="shared" si="5"/>
        <v>5.7000000000000002E-2</v>
      </c>
      <c r="Z18">
        <f t="shared" si="6"/>
        <v>2.8500000000000001E-2</v>
      </c>
      <c r="AA18">
        <v>5.7000000000000002E-2</v>
      </c>
      <c r="AB18">
        <f t="shared" ref="AB18:AB21" si="15">81/1000000</f>
        <v>8.1000000000000004E-5</v>
      </c>
      <c r="AC18">
        <f t="shared" si="1"/>
        <v>-62999.9715</v>
      </c>
    </row>
    <row r="19" spans="1:29" x14ac:dyDescent="0.35">
      <c r="A19">
        <v>17</v>
      </c>
      <c r="B19">
        <v>2041</v>
      </c>
      <c r="C19">
        <f>Parameters!$B$40*Timeseries!AA19</f>
        <v>2.8500000000000001E-2</v>
      </c>
      <c r="D19">
        <f>MAX(0,D18-Parameters!$B$22*$D$2)</f>
        <v>352.5</v>
      </c>
      <c r="E19">
        <f t="shared" si="9"/>
        <v>300</v>
      </c>
      <c r="F19">
        <f t="shared" si="2"/>
        <v>0.11590909090909091</v>
      </c>
      <c r="G19">
        <f t="shared" si="8"/>
        <v>0.36956521739130432</v>
      </c>
      <c r="H19">
        <v>1.12E-2</v>
      </c>
      <c r="I19">
        <v>3.024E-2</v>
      </c>
      <c r="J19" s="25">
        <f>150*(1+Parameters!$B$7)^A19</f>
        <v>403.9159178650221</v>
      </c>
      <c r="K19" s="25">
        <f>(170)</f>
        <v>170</v>
      </c>
      <c r="N19">
        <v>125.5</v>
      </c>
      <c r="O19">
        <v>50.18</v>
      </c>
      <c r="P19">
        <v>11.2</v>
      </c>
      <c r="Q19">
        <v>30.24</v>
      </c>
      <c r="S19">
        <v>250</v>
      </c>
      <c r="U19">
        <v>250</v>
      </c>
      <c r="V19">
        <f t="shared" si="0"/>
        <v>241.66666666666669</v>
      </c>
      <c r="W19">
        <f>100*(1+Parameters!$B$7)^$A19</f>
        <v>269.2772785766814</v>
      </c>
      <c r="X19">
        <f t="shared" si="14"/>
        <v>0.15390000000000001</v>
      </c>
      <c r="Y19">
        <f t="shared" si="5"/>
        <v>5.7000000000000002E-2</v>
      </c>
      <c r="Z19">
        <f t="shared" si="6"/>
        <v>2.8500000000000001E-2</v>
      </c>
      <c r="AA19">
        <v>5.7000000000000002E-2</v>
      </c>
      <c r="AB19">
        <f t="shared" si="15"/>
        <v>8.1000000000000004E-5</v>
      </c>
      <c r="AC19">
        <f t="shared" si="1"/>
        <v>-52874.9715</v>
      </c>
    </row>
    <row r="20" spans="1:29" x14ac:dyDescent="0.35">
      <c r="A20">
        <v>18</v>
      </c>
      <c r="B20">
        <v>2042</v>
      </c>
      <c r="C20">
        <f>Parameters!$B$40*Timeseries!AA20</f>
        <v>2.8500000000000001E-2</v>
      </c>
      <c r="D20">
        <f>MAX(0,D19-Parameters!$B$22*$D$2)</f>
        <v>285</v>
      </c>
      <c r="E20">
        <f t="shared" si="9"/>
        <v>300</v>
      </c>
      <c r="F20">
        <f t="shared" si="2"/>
        <v>0.12272727272727273</v>
      </c>
      <c r="G20">
        <f t="shared" si="8"/>
        <v>0.39130434782608692</v>
      </c>
      <c r="H20">
        <v>1.12E-2</v>
      </c>
      <c r="I20">
        <v>3.024E-2</v>
      </c>
      <c r="J20" s="25">
        <f>150*(1+Parameters!$B$7)^A20</f>
        <v>428.15087293692341</v>
      </c>
      <c r="K20" s="25">
        <f>(170)</f>
        <v>170</v>
      </c>
      <c r="N20">
        <v>128</v>
      </c>
      <c r="O20">
        <v>50.18</v>
      </c>
      <c r="P20">
        <v>11.2</v>
      </c>
      <c r="Q20">
        <v>30.24</v>
      </c>
      <c r="S20">
        <v>250</v>
      </c>
      <c r="U20">
        <v>250</v>
      </c>
      <c r="V20">
        <f t="shared" si="0"/>
        <v>250</v>
      </c>
      <c r="W20">
        <f>100*(1+Parameters!$B$7)^$A20</f>
        <v>285.43391529128229</v>
      </c>
      <c r="X20">
        <f t="shared" si="14"/>
        <v>0.15390000000000001</v>
      </c>
      <c r="Y20">
        <f t="shared" si="5"/>
        <v>5.7000000000000002E-2</v>
      </c>
      <c r="Z20">
        <f t="shared" si="6"/>
        <v>2.8500000000000001E-2</v>
      </c>
      <c r="AA20">
        <v>5.7000000000000002E-2</v>
      </c>
      <c r="AB20">
        <f t="shared" si="15"/>
        <v>8.1000000000000004E-5</v>
      </c>
      <c r="AC20">
        <f t="shared" si="1"/>
        <v>-42749.9715</v>
      </c>
    </row>
    <row r="21" spans="1:29" x14ac:dyDescent="0.35">
      <c r="A21">
        <v>19</v>
      </c>
      <c r="B21">
        <v>2043</v>
      </c>
      <c r="C21">
        <f>Parameters!$B$40*Timeseries!AA21</f>
        <v>2.8500000000000001E-2</v>
      </c>
      <c r="D21">
        <f>MAX(0,D20-Parameters!$B$22*$D$2)</f>
        <v>217.5</v>
      </c>
      <c r="E21">
        <f t="shared" si="9"/>
        <v>300</v>
      </c>
      <c r="F21">
        <f t="shared" si="2"/>
        <v>0.12954545454545455</v>
      </c>
      <c r="G21">
        <f t="shared" si="8"/>
        <v>0.41304347826086957</v>
      </c>
      <c r="H21">
        <v>1.12E-2</v>
      </c>
      <c r="I21">
        <v>3.024E-2</v>
      </c>
      <c r="J21" s="25">
        <f>150*(1+Parameters!$B$7)^A21</f>
        <v>453.83992531313891</v>
      </c>
      <c r="K21" s="25">
        <f>(170)</f>
        <v>170</v>
      </c>
      <c r="N21">
        <v>130.5</v>
      </c>
      <c r="O21">
        <v>50.18</v>
      </c>
      <c r="P21">
        <v>11.2</v>
      </c>
      <c r="Q21">
        <v>30.24</v>
      </c>
      <c r="S21">
        <v>250</v>
      </c>
      <c r="U21">
        <v>250</v>
      </c>
      <c r="V21">
        <f t="shared" si="0"/>
        <v>258.33333333333337</v>
      </c>
      <c r="W21">
        <f>100*(1+Parameters!$B$7)^$A21</f>
        <v>302.55995020875923</v>
      </c>
      <c r="X21">
        <f t="shared" si="14"/>
        <v>0.15390000000000001</v>
      </c>
      <c r="Y21">
        <f t="shared" si="5"/>
        <v>5.7000000000000002E-2</v>
      </c>
      <c r="Z21">
        <f t="shared" si="6"/>
        <v>2.8500000000000001E-2</v>
      </c>
      <c r="AA21">
        <v>5.7000000000000002E-2</v>
      </c>
      <c r="AB21">
        <f t="shared" si="15"/>
        <v>8.1000000000000004E-5</v>
      </c>
      <c r="AC21">
        <f t="shared" si="1"/>
        <v>-32624.9715</v>
      </c>
    </row>
    <row r="22" spans="1:29" x14ac:dyDescent="0.35">
      <c r="A22">
        <v>20</v>
      </c>
      <c r="B22">
        <v>2044</v>
      </c>
      <c r="C22">
        <f>Parameters!$B$40*Timeseries!AA22</f>
        <v>2.8500000000000001E-2</v>
      </c>
      <c r="D22">
        <f>MAX(0,D21-Parameters!$B$22*$D$2)</f>
        <v>150</v>
      </c>
      <c r="E22">
        <f t="shared" si="9"/>
        <v>300</v>
      </c>
      <c r="F22">
        <f t="shared" si="2"/>
        <v>0.13636363636363635</v>
      </c>
      <c r="G22">
        <f t="shared" si="8"/>
        <v>0.43478260869565216</v>
      </c>
      <c r="H22">
        <v>1.1470000000000001E-2</v>
      </c>
      <c r="I22">
        <v>2.9520000000000001E-2</v>
      </c>
      <c r="J22" s="25">
        <f>150*(1+Parameters!$B$7)^A22</f>
        <v>481.07032083192718</v>
      </c>
      <c r="K22" s="25">
        <f>(170)</f>
        <v>170</v>
      </c>
      <c r="N22">
        <v>133</v>
      </c>
      <c r="O22">
        <v>49</v>
      </c>
      <c r="P22">
        <v>11.47</v>
      </c>
      <c r="Q22">
        <v>29.52</v>
      </c>
      <c r="S22">
        <v>300</v>
      </c>
      <c r="U22">
        <v>300</v>
      </c>
      <c r="V22">
        <f t="shared" si="0"/>
        <v>266.66666666666669</v>
      </c>
      <c r="W22">
        <f>100*(1+Parameters!$B$7)^$A22</f>
        <v>320.71354722128478</v>
      </c>
      <c r="X22">
        <f t="shared" si="14"/>
        <v>0.15390000000000001</v>
      </c>
      <c r="Y22">
        <f t="shared" si="5"/>
        <v>5.7000000000000002E-2</v>
      </c>
      <c r="Z22">
        <f t="shared" si="6"/>
        <v>2.8500000000000001E-2</v>
      </c>
      <c r="AA22">
        <v>5.7000000000000002E-2</v>
      </c>
      <c r="AB22">
        <f>68/1000000</f>
        <v>6.7999999999999999E-5</v>
      </c>
      <c r="AC22">
        <f t="shared" si="1"/>
        <v>-22499.9715</v>
      </c>
    </row>
    <row r="23" spans="1:29" x14ac:dyDescent="0.35">
      <c r="A23">
        <v>21</v>
      </c>
      <c r="B23">
        <v>2045</v>
      </c>
      <c r="C23">
        <f>Parameters!$B$40*Timeseries!AA23</f>
        <v>2.8500000000000001E-2</v>
      </c>
      <c r="D23">
        <f>MAX(0,D22-Parameters!$B$22*$D$2)</f>
        <v>82.5</v>
      </c>
      <c r="E23">
        <f t="shared" si="9"/>
        <v>300</v>
      </c>
      <c r="F23">
        <f t="shared" si="2"/>
        <v>0.14318181818181819</v>
      </c>
      <c r="G23">
        <f t="shared" si="8"/>
        <v>0.45652173913043476</v>
      </c>
      <c r="H23">
        <v>1.1470000000000001E-2</v>
      </c>
      <c r="I23">
        <v>2.9520000000000001E-2</v>
      </c>
      <c r="J23" s="25">
        <f>150*(1+Parameters!$B$7)^A23</f>
        <v>509.93454008184295</v>
      </c>
      <c r="K23" s="25">
        <f>(170)</f>
        <v>170</v>
      </c>
      <c r="N23">
        <v>135.5</v>
      </c>
      <c r="O23">
        <v>49</v>
      </c>
      <c r="P23">
        <v>11.47</v>
      </c>
      <c r="Q23">
        <v>29.52</v>
      </c>
      <c r="S23">
        <v>300</v>
      </c>
      <c r="U23">
        <v>300</v>
      </c>
      <c r="V23">
        <f t="shared" si="0"/>
        <v>275</v>
      </c>
      <c r="W23">
        <f>100*(1+Parameters!$B$7)^$A23</f>
        <v>339.95636005456197</v>
      </c>
      <c r="X23">
        <f t="shared" si="14"/>
        <v>0.15390000000000001</v>
      </c>
      <c r="Y23">
        <f t="shared" si="5"/>
        <v>5.7000000000000002E-2</v>
      </c>
      <c r="Z23">
        <f t="shared" si="6"/>
        <v>2.8500000000000001E-2</v>
      </c>
      <c r="AA23">
        <v>5.7000000000000002E-2</v>
      </c>
      <c r="AB23">
        <f t="shared" ref="AB23:AB28" si="16">68/1000000</f>
        <v>6.7999999999999999E-5</v>
      </c>
      <c r="AC23">
        <f t="shared" si="1"/>
        <v>-12374.9715</v>
      </c>
    </row>
    <row r="24" spans="1:29" x14ac:dyDescent="0.35">
      <c r="A24">
        <v>22</v>
      </c>
      <c r="B24">
        <v>2046</v>
      </c>
      <c r="C24">
        <f>Parameters!$B$40*Timeseries!AA24</f>
        <v>2.8500000000000001E-2</v>
      </c>
      <c r="D24">
        <f>MAX(0,D23-Parameters!$B$22*$D$2)</f>
        <v>15</v>
      </c>
      <c r="E24">
        <f t="shared" si="9"/>
        <v>300</v>
      </c>
      <c r="F24">
        <v>0.15</v>
      </c>
      <c r="G24">
        <f t="shared" si="8"/>
        <v>0.47826086956521741</v>
      </c>
      <c r="H24">
        <v>1.1470000000000001E-2</v>
      </c>
      <c r="I24">
        <v>2.9520000000000001E-2</v>
      </c>
      <c r="J24" s="25">
        <f>150*(1+Parameters!$B$7)^A24</f>
        <v>540.53061248675351</v>
      </c>
      <c r="K24" s="25">
        <f>(170)</f>
        <v>170</v>
      </c>
      <c r="N24">
        <v>138</v>
      </c>
      <c r="O24">
        <v>49</v>
      </c>
      <c r="P24">
        <v>11.47</v>
      </c>
      <c r="Q24">
        <v>29.52</v>
      </c>
      <c r="S24">
        <v>300</v>
      </c>
      <c r="U24">
        <v>300</v>
      </c>
      <c r="V24">
        <f t="shared" si="0"/>
        <v>283.33333333333337</v>
      </c>
      <c r="W24">
        <f>100*(1+Parameters!$B$7)^$A24</f>
        <v>360.35374165783571</v>
      </c>
      <c r="X24">
        <f t="shared" si="14"/>
        <v>0.15390000000000001</v>
      </c>
      <c r="Y24">
        <f t="shared" si="5"/>
        <v>5.7000000000000002E-2</v>
      </c>
      <c r="Z24">
        <f t="shared" si="6"/>
        <v>2.8500000000000001E-2</v>
      </c>
      <c r="AA24">
        <v>5.7000000000000002E-2</v>
      </c>
      <c r="AB24">
        <f t="shared" si="16"/>
        <v>6.7999999999999999E-5</v>
      </c>
      <c r="AC24">
        <f t="shared" si="1"/>
        <v>-2249.9715000000001</v>
      </c>
    </row>
    <row r="25" spans="1:29" x14ac:dyDescent="0.35">
      <c r="A25">
        <v>23</v>
      </c>
      <c r="B25">
        <v>2047</v>
      </c>
      <c r="C25">
        <f>Parameters!$B$40*Timeseries!AA25</f>
        <v>2.8500000000000001E-2</v>
      </c>
      <c r="D25">
        <v>0</v>
      </c>
      <c r="E25">
        <f t="shared" si="9"/>
        <v>300</v>
      </c>
      <c r="F25">
        <v>0.15</v>
      </c>
      <c r="G25">
        <f t="shared" si="8"/>
        <v>0.5</v>
      </c>
      <c r="H25">
        <v>1.1470000000000001E-2</v>
      </c>
      <c r="I25">
        <v>2.9520000000000001E-2</v>
      </c>
      <c r="J25" s="25">
        <f>150*(1+Parameters!$B$7)^A25</f>
        <v>572.96244923595884</v>
      </c>
      <c r="K25" s="25">
        <f>(170)</f>
        <v>170</v>
      </c>
      <c r="N25">
        <v>140.5</v>
      </c>
      <c r="O25">
        <v>49</v>
      </c>
      <c r="P25">
        <v>11.47</v>
      </c>
      <c r="Q25">
        <v>29.52</v>
      </c>
      <c r="S25">
        <v>300</v>
      </c>
      <c r="U25">
        <v>300</v>
      </c>
      <c r="V25">
        <f t="shared" si="0"/>
        <v>291.66666666666669</v>
      </c>
      <c r="W25">
        <f>100*(1+Parameters!$B$7)^$A25</f>
        <v>381.97496615730586</v>
      </c>
      <c r="X25">
        <f t="shared" si="14"/>
        <v>0.15390000000000001</v>
      </c>
      <c r="Y25">
        <f t="shared" si="5"/>
        <v>5.7000000000000002E-2</v>
      </c>
      <c r="Z25">
        <f t="shared" si="6"/>
        <v>2.8500000000000001E-2</v>
      </c>
      <c r="AA25">
        <v>5.7000000000000002E-2</v>
      </c>
      <c r="AB25">
        <f t="shared" si="16"/>
        <v>6.7999999999999999E-5</v>
      </c>
      <c r="AC25">
        <f t="shared" si="1"/>
        <v>2.8500000000000001E-2</v>
      </c>
    </row>
    <row r="26" spans="1:29" x14ac:dyDescent="0.35">
      <c r="A26">
        <v>24</v>
      </c>
      <c r="B26">
        <v>2048</v>
      </c>
      <c r="C26">
        <f>Parameters!$B$40*Timeseries!AA26</f>
        <v>2.8500000000000001E-2</v>
      </c>
      <c r="D26">
        <v>0</v>
      </c>
      <c r="E26">
        <f t="shared" si="9"/>
        <v>300</v>
      </c>
      <c r="F26">
        <v>0.15</v>
      </c>
      <c r="G26">
        <f t="shared" si="8"/>
        <v>0.52173913043478259</v>
      </c>
      <c r="H26">
        <v>1.1470000000000001E-2</v>
      </c>
      <c r="I26">
        <v>2.9520000000000001E-2</v>
      </c>
      <c r="J26" s="25">
        <f>150*(1+Parameters!$B$7)^A26</f>
        <v>607.34019619011633</v>
      </c>
      <c r="K26" s="25">
        <f>(170)</f>
        <v>170</v>
      </c>
      <c r="N26">
        <v>143</v>
      </c>
      <c r="O26">
        <v>49</v>
      </c>
      <c r="P26">
        <v>11.47</v>
      </c>
      <c r="Q26">
        <v>29.52</v>
      </c>
      <c r="S26">
        <v>300</v>
      </c>
      <c r="U26">
        <v>300</v>
      </c>
      <c r="V26">
        <f t="shared" si="0"/>
        <v>300</v>
      </c>
      <c r="W26">
        <f>100*(1+Parameters!$B$7)^$A26</f>
        <v>404.89346412674416</v>
      </c>
      <c r="X26">
        <f t="shared" si="14"/>
        <v>0.15390000000000001</v>
      </c>
      <c r="Y26">
        <f t="shared" si="5"/>
        <v>5.7000000000000002E-2</v>
      </c>
      <c r="Z26">
        <f t="shared" si="6"/>
        <v>2.8500000000000001E-2</v>
      </c>
      <c r="AA26">
        <v>5.7000000000000002E-2</v>
      </c>
      <c r="AB26">
        <f t="shared" si="16"/>
        <v>6.7999999999999999E-5</v>
      </c>
      <c r="AC26">
        <f t="shared" si="1"/>
        <v>2.8500000000000001E-2</v>
      </c>
    </row>
    <row r="27" spans="1:29" x14ac:dyDescent="0.35">
      <c r="A27">
        <v>25</v>
      </c>
      <c r="B27">
        <v>2049</v>
      </c>
      <c r="C27">
        <f>Parameters!$B$40*Timeseries!AA27</f>
        <v>2.8500000000000001E-2</v>
      </c>
      <c r="D27">
        <v>0</v>
      </c>
      <c r="E27">
        <f t="shared" si="9"/>
        <v>300</v>
      </c>
      <c r="F27">
        <v>0.15</v>
      </c>
      <c r="G27">
        <f t="shared" si="8"/>
        <v>0.54347826086956519</v>
      </c>
      <c r="H27">
        <v>1.1470000000000001E-2</v>
      </c>
      <c r="I27">
        <v>2.9520000000000001E-2</v>
      </c>
      <c r="J27" s="25">
        <f>150*(1+Parameters!$B$7)^A27</f>
        <v>643.78060796152329</v>
      </c>
      <c r="K27" s="25">
        <f>(170)</f>
        <v>170</v>
      </c>
      <c r="N27">
        <v>143</v>
      </c>
      <c r="O27">
        <v>49</v>
      </c>
      <c r="P27">
        <v>11.47</v>
      </c>
      <c r="Q27">
        <v>29.52</v>
      </c>
      <c r="U27">
        <v>301</v>
      </c>
      <c r="V27">
        <f t="shared" si="0"/>
        <v>308.33333333333337</v>
      </c>
      <c r="W27">
        <f>100*(1+Parameters!$B$7)^$A27</f>
        <v>429.18707197434884</v>
      </c>
      <c r="X27">
        <f t="shared" si="14"/>
        <v>0.15390000000000001</v>
      </c>
      <c r="Y27">
        <f t="shared" ref="Y27" si="17">X27/2.7</f>
        <v>5.7000000000000002E-2</v>
      </c>
      <c r="Z27">
        <f t="shared" ref="Z27" si="18">Y27*0.5</f>
        <v>2.8500000000000001E-2</v>
      </c>
      <c r="AA27">
        <v>5.7000000000000002E-2</v>
      </c>
      <c r="AB27">
        <f t="shared" si="16"/>
        <v>6.7999999999999999E-5</v>
      </c>
      <c r="AC27">
        <f t="shared" si="1"/>
        <v>2.8500000000000001E-2</v>
      </c>
    </row>
    <row r="28" spans="1:29" x14ac:dyDescent="0.35">
      <c r="A28" s="38">
        <v>26</v>
      </c>
      <c r="B28">
        <v>2050</v>
      </c>
      <c r="C28">
        <f>Parameters!$B$40*Timeseries!AA28</f>
        <v>2.8500000000000001E-2</v>
      </c>
      <c r="D28">
        <v>0</v>
      </c>
      <c r="E28">
        <f t="shared" si="9"/>
        <v>300</v>
      </c>
      <c r="F28">
        <v>0.15</v>
      </c>
      <c r="G28">
        <f t="shared" si="8"/>
        <v>0.56521739130434778</v>
      </c>
      <c r="H28">
        <v>1.1470000000000001E-2</v>
      </c>
      <c r="I28">
        <v>2.9520000000000001E-2</v>
      </c>
      <c r="J28" s="25">
        <f>150*(1+Parameters!$B$7)^A28</f>
        <v>682.40744443921471</v>
      </c>
      <c r="K28" s="25">
        <f>(170)</f>
        <v>170</v>
      </c>
      <c r="N28">
        <v>143</v>
      </c>
      <c r="O28">
        <v>49</v>
      </c>
      <c r="P28">
        <v>11.47</v>
      </c>
      <c r="Q28">
        <v>29.52</v>
      </c>
      <c r="X28">
        <f t="shared" si="14"/>
        <v>0.15390000000000001</v>
      </c>
      <c r="AA28">
        <v>5.7000000000000002E-2</v>
      </c>
      <c r="AB28">
        <f t="shared" si="16"/>
        <v>6.7999999999999999E-5</v>
      </c>
      <c r="AC28">
        <f t="shared" si="1"/>
        <v>2.8500000000000001E-2</v>
      </c>
    </row>
    <row r="29" spans="1:29" x14ac:dyDescent="0.35">
      <c r="A29">
        <v>27</v>
      </c>
      <c r="B29">
        <v>2051</v>
      </c>
      <c r="C29">
        <f>$C$28</f>
        <v>2.8500000000000001E-2</v>
      </c>
      <c r="D29">
        <v>0</v>
      </c>
      <c r="E29">
        <f t="shared" si="9"/>
        <v>300</v>
      </c>
      <c r="F29">
        <v>0.15</v>
      </c>
      <c r="G29">
        <f t="shared" si="8"/>
        <v>0.58695652173913038</v>
      </c>
      <c r="H29">
        <v>1.1470000000000001E-2</v>
      </c>
      <c r="I29">
        <v>2.9520000000000001E-2</v>
      </c>
      <c r="O29">
        <v>49</v>
      </c>
    </row>
    <row r="30" spans="1:29" x14ac:dyDescent="0.35">
      <c r="A30">
        <v>28</v>
      </c>
      <c r="B30">
        <v>2052</v>
      </c>
      <c r="C30">
        <f t="shared" ref="C30:C93" si="19">$C$28</f>
        <v>2.8500000000000001E-2</v>
      </c>
      <c r="D30">
        <v>0</v>
      </c>
      <c r="E30">
        <f t="shared" si="9"/>
        <v>300</v>
      </c>
      <c r="F30">
        <v>0.15</v>
      </c>
      <c r="G30">
        <f t="shared" si="8"/>
        <v>0.60869565217391308</v>
      </c>
      <c r="H30">
        <v>1.1470000000000001E-2</v>
      </c>
      <c r="I30">
        <v>2.9520000000000001E-2</v>
      </c>
      <c r="O30">
        <v>49</v>
      </c>
      <c r="AB30" s="24"/>
    </row>
    <row r="31" spans="1:29" x14ac:dyDescent="0.35">
      <c r="A31">
        <v>29</v>
      </c>
      <c r="B31">
        <v>2053</v>
      </c>
      <c r="C31">
        <f t="shared" si="19"/>
        <v>2.8500000000000001E-2</v>
      </c>
      <c r="D31">
        <v>0</v>
      </c>
      <c r="E31">
        <f t="shared" si="9"/>
        <v>300</v>
      </c>
      <c r="F31">
        <v>0.15</v>
      </c>
      <c r="G31">
        <f t="shared" si="8"/>
        <v>0.63043478260869568</v>
      </c>
      <c r="H31">
        <v>1.1470000000000001E-2</v>
      </c>
      <c r="I31">
        <v>2.9520000000000001E-2</v>
      </c>
      <c r="O31">
        <v>49</v>
      </c>
      <c r="AB31" s="24"/>
    </row>
    <row r="32" spans="1:29" x14ac:dyDescent="0.35">
      <c r="A32">
        <v>30</v>
      </c>
      <c r="B32">
        <v>2054</v>
      </c>
      <c r="C32">
        <f t="shared" si="19"/>
        <v>2.8500000000000001E-2</v>
      </c>
      <c r="D32">
        <v>0</v>
      </c>
      <c r="E32">
        <f t="shared" si="9"/>
        <v>300</v>
      </c>
      <c r="F32">
        <v>0.15</v>
      </c>
      <c r="G32">
        <f t="shared" si="8"/>
        <v>0.65217391304347827</v>
      </c>
      <c r="H32">
        <v>1.1470000000000001E-2</v>
      </c>
      <c r="I32">
        <v>2.9520000000000001E-2</v>
      </c>
      <c r="O32">
        <v>49</v>
      </c>
      <c r="AB32" s="24"/>
    </row>
    <row r="33" spans="1:28" x14ac:dyDescent="0.35">
      <c r="A33">
        <v>31</v>
      </c>
      <c r="B33">
        <v>2055</v>
      </c>
      <c r="C33">
        <f t="shared" si="19"/>
        <v>2.8500000000000001E-2</v>
      </c>
      <c r="D33">
        <v>0</v>
      </c>
      <c r="E33">
        <f t="shared" si="9"/>
        <v>300</v>
      </c>
      <c r="F33">
        <v>0.15</v>
      </c>
      <c r="G33">
        <f t="shared" si="8"/>
        <v>0.67391304347826086</v>
      </c>
      <c r="H33">
        <v>1.1470000000000001E-2</v>
      </c>
      <c r="I33">
        <v>2.9520000000000001E-2</v>
      </c>
      <c r="O33">
        <v>49</v>
      </c>
      <c r="AB33" s="24"/>
    </row>
    <row r="34" spans="1:28" x14ac:dyDescent="0.35">
      <c r="A34">
        <v>32</v>
      </c>
      <c r="B34">
        <v>2056</v>
      </c>
      <c r="C34">
        <f t="shared" si="19"/>
        <v>2.8500000000000001E-2</v>
      </c>
      <c r="D34">
        <v>0</v>
      </c>
      <c r="E34">
        <f t="shared" si="9"/>
        <v>300</v>
      </c>
      <c r="F34">
        <v>0.15</v>
      </c>
      <c r="G34">
        <f t="shared" si="8"/>
        <v>0.69565217391304346</v>
      </c>
      <c r="H34">
        <v>1.1470000000000001E-2</v>
      </c>
      <c r="I34">
        <v>2.9520000000000001E-2</v>
      </c>
      <c r="O34">
        <v>49</v>
      </c>
      <c r="AB34" s="24"/>
    </row>
    <row r="35" spans="1:28" x14ac:dyDescent="0.35">
      <c r="A35">
        <v>33</v>
      </c>
      <c r="B35">
        <v>2057</v>
      </c>
      <c r="C35">
        <f t="shared" si="19"/>
        <v>2.8500000000000001E-2</v>
      </c>
      <c r="D35">
        <v>0</v>
      </c>
      <c r="E35">
        <f t="shared" si="9"/>
        <v>300</v>
      </c>
      <c r="F35">
        <v>0.15</v>
      </c>
      <c r="G35">
        <f t="shared" si="8"/>
        <v>0.71739130434782605</v>
      </c>
      <c r="H35">
        <v>1.1470000000000001E-2</v>
      </c>
      <c r="I35">
        <v>2.9520000000000001E-2</v>
      </c>
      <c r="O35">
        <v>49</v>
      </c>
    </row>
    <row r="36" spans="1:28" x14ac:dyDescent="0.35">
      <c r="A36">
        <v>34</v>
      </c>
      <c r="B36">
        <v>2058</v>
      </c>
      <c r="C36">
        <f t="shared" si="19"/>
        <v>2.8500000000000001E-2</v>
      </c>
      <c r="D36">
        <v>0</v>
      </c>
      <c r="E36">
        <f t="shared" si="9"/>
        <v>300</v>
      </c>
      <c r="F36">
        <v>0.15</v>
      </c>
      <c r="G36">
        <f t="shared" si="8"/>
        <v>0.73913043478260865</v>
      </c>
      <c r="H36">
        <v>1.1470000000000001E-2</v>
      </c>
      <c r="I36">
        <v>2.9520000000000001E-2</v>
      </c>
      <c r="O36">
        <v>49</v>
      </c>
    </row>
    <row r="37" spans="1:28" x14ac:dyDescent="0.35">
      <c r="A37">
        <v>35</v>
      </c>
      <c r="B37">
        <v>2059</v>
      </c>
      <c r="C37">
        <f t="shared" si="19"/>
        <v>2.8500000000000001E-2</v>
      </c>
      <c r="D37">
        <v>0</v>
      </c>
      <c r="E37">
        <f t="shared" si="9"/>
        <v>300</v>
      </c>
      <c r="F37">
        <v>0.15</v>
      </c>
      <c r="G37">
        <f t="shared" si="8"/>
        <v>0.76086956521739124</v>
      </c>
      <c r="H37">
        <v>1.1470000000000001E-2</v>
      </c>
      <c r="I37">
        <v>2.9520000000000001E-2</v>
      </c>
      <c r="O37">
        <v>49</v>
      </c>
    </row>
    <row r="38" spans="1:28" x14ac:dyDescent="0.35">
      <c r="A38">
        <v>36</v>
      </c>
      <c r="B38">
        <v>2060</v>
      </c>
      <c r="C38">
        <f t="shared" si="19"/>
        <v>2.8500000000000001E-2</v>
      </c>
      <c r="D38">
        <v>0</v>
      </c>
      <c r="E38">
        <f t="shared" si="9"/>
        <v>300</v>
      </c>
      <c r="F38">
        <v>0.15</v>
      </c>
      <c r="G38">
        <f t="shared" si="8"/>
        <v>0.78260869565217384</v>
      </c>
      <c r="H38">
        <v>1.1470000000000001E-2</v>
      </c>
      <c r="I38">
        <v>2.9520000000000001E-2</v>
      </c>
      <c r="O38">
        <v>49</v>
      </c>
    </row>
    <row r="39" spans="1:28" x14ac:dyDescent="0.35">
      <c r="A39">
        <v>37</v>
      </c>
      <c r="B39">
        <v>2061</v>
      </c>
      <c r="C39">
        <f t="shared" si="19"/>
        <v>2.8500000000000001E-2</v>
      </c>
      <c r="D39">
        <v>0</v>
      </c>
      <c r="E39">
        <f t="shared" si="9"/>
        <v>300</v>
      </c>
      <c r="F39">
        <v>0.15</v>
      </c>
      <c r="G39">
        <f t="shared" si="8"/>
        <v>0.80434782608695654</v>
      </c>
      <c r="H39">
        <v>1.1470000000000001E-2</v>
      </c>
      <c r="I39">
        <v>2.9520000000000001E-2</v>
      </c>
      <c r="O39">
        <v>49</v>
      </c>
    </row>
    <row r="40" spans="1:28" x14ac:dyDescent="0.35">
      <c r="A40">
        <v>38</v>
      </c>
      <c r="B40">
        <v>2062</v>
      </c>
      <c r="C40">
        <f t="shared" si="19"/>
        <v>2.8500000000000001E-2</v>
      </c>
      <c r="D40">
        <v>0</v>
      </c>
      <c r="E40">
        <f t="shared" si="9"/>
        <v>300</v>
      </c>
      <c r="F40">
        <v>0.15</v>
      </c>
      <c r="G40">
        <f t="shared" si="8"/>
        <v>0.82608695652173914</v>
      </c>
      <c r="H40">
        <v>1.1470000000000001E-2</v>
      </c>
      <c r="I40">
        <v>2.9520000000000001E-2</v>
      </c>
      <c r="O40">
        <v>49</v>
      </c>
    </row>
    <row r="41" spans="1:28" x14ac:dyDescent="0.35">
      <c r="A41">
        <v>39</v>
      </c>
      <c r="B41">
        <v>2063</v>
      </c>
      <c r="C41">
        <f t="shared" si="19"/>
        <v>2.8500000000000001E-2</v>
      </c>
      <c r="D41">
        <v>0</v>
      </c>
      <c r="E41">
        <f t="shared" si="9"/>
        <v>300</v>
      </c>
      <c r="F41">
        <v>0.15</v>
      </c>
      <c r="G41">
        <f t="shared" si="8"/>
        <v>0.84782608695652173</v>
      </c>
      <c r="H41">
        <v>1.1470000000000001E-2</v>
      </c>
      <c r="I41">
        <v>2.9520000000000001E-2</v>
      </c>
      <c r="O41">
        <v>49</v>
      </c>
    </row>
    <row r="42" spans="1:28" x14ac:dyDescent="0.35">
      <c r="A42">
        <v>40</v>
      </c>
      <c r="B42">
        <v>2064</v>
      </c>
      <c r="C42">
        <f t="shared" si="19"/>
        <v>2.8500000000000001E-2</v>
      </c>
      <c r="D42">
        <v>0</v>
      </c>
      <c r="E42">
        <f t="shared" si="9"/>
        <v>300</v>
      </c>
      <c r="F42">
        <v>0.15</v>
      </c>
      <c r="G42">
        <f t="shared" si="8"/>
        <v>0.86956521739130432</v>
      </c>
      <c r="H42">
        <v>1.1470000000000001E-2</v>
      </c>
      <c r="I42">
        <v>2.9520000000000001E-2</v>
      </c>
      <c r="O42">
        <v>49</v>
      </c>
    </row>
    <row r="43" spans="1:28" x14ac:dyDescent="0.35">
      <c r="A43">
        <v>41</v>
      </c>
      <c r="B43">
        <v>2065</v>
      </c>
      <c r="C43">
        <f t="shared" si="19"/>
        <v>2.8500000000000001E-2</v>
      </c>
      <c r="D43">
        <v>0</v>
      </c>
      <c r="E43">
        <f t="shared" si="9"/>
        <v>300</v>
      </c>
      <c r="F43">
        <v>0.15</v>
      </c>
      <c r="G43">
        <f t="shared" si="8"/>
        <v>0.89130434782608692</v>
      </c>
      <c r="H43">
        <v>1.1470000000000001E-2</v>
      </c>
      <c r="I43">
        <v>2.9520000000000001E-2</v>
      </c>
      <c r="O43">
        <v>49</v>
      </c>
    </row>
    <row r="44" spans="1:28" x14ac:dyDescent="0.35">
      <c r="A44">
        <v>42</v>
      </c>
      <c r="B44">
        <v>2066</v>
      </c>
      <c r="C44">
        <f t="shared" si="19"/>
        <v>2.8500000000000001E-2</v>
      </c>
      <c r="D44">
        <v>0</v>
      </c>
      <c r="E44">
        <f t="shared" si="9"/>
        <v>300</v>
      </c>
      <c r="F44">
        <v>0.15</v>
      </c>
      <c r="G44">
        <f t="shared" si="8"/>
        <v>0.91304347826086951</v>
      </c>
      <c r="H44">
        <v>1.1470000000000001E-2</v>
      </c>
      <c r="I44">
        <v>2.9520000000000001E-2</v>
      </c>
      <c r="O44">
        <v>49</v>
      </c>
    </row>
    <row r="45" spans="1:28" x14ac:dyDescent="0.35">
      <c r="A45">
        <v>43</v>
      </c>
      <c r="B45">
        <v>2067</v>
      </c>
      <c r="C45">
        <f t="shared" si="19"/>
        <v>2.8500000000000001E-2</v>
      </c>
      <c r="D45">
        <v>0</v>
      </c>
      <c r="E45">
        <f t="shared" si="9"/>
        <v>300</v>
      </c>
      <c r="F45">
        <v>0.15</v>
      </c>
      <c r="G45">
        <f t="shared" si="8"/>
        <v>0.93478260869565211</v>
      </c>
      <c r="H45">
        <v>1.1470000000000001E-2</v>
      </c>
      <c r="I45">
        <v>2.9520000000000001E-2</v>
      </c>
      <c r="O45">
        <v>49</v>
      </c>
    </row>
    <row r="46" spans="1:28" x14ac:dyDescent="0.35">
      <c r="A46">
        <v>44</v>
      </c>
      <c r="B46">
        <v>2068</v>
      </c>
      <c r="C46">
        <f t="shared" si="19"/>
        <v>2.8500000000000001E-2</v>
      </c>
      <c r="D46">
        <v>0</v>
      </c>
      <c r="E46">
        <f t="shared" si="9"/>
        <v>300</v>
      </c>
      <c r="F46">
        <v>0.15</v>
      </c>
      <c r="G46">
        <f t="shared" si="8"/>
        <v>0.95652173913043481</v>
      </c>
      <c r="H46">
        <v>1.1470000000000001E-2</v>
      </c>
      <c r="I46">
        <v>2.9520000000000001E-2</v>
      </c>
      <c r="O46">
        <v>49</v>
      </c>
    </row>
    <row r="47" spans="1:28" x14ac:dyDescent="0.35">
      <c r="A47">
        <v>45</v>
      </c>
      <c r="B47">
        <v>2069</v>
      </c>
      <c r="C47">
        <f t="shared" si="19"/>
        <v>2.8500000000000001E-2</v>
      </c>
      <c r="D47">
        <v>0</v>
      </c>
      <c r="E47">
        <f t="shared" si="9"/>
        <v>300</v>
      </c>
      <c r="F47">
        <v>0.15</v>
      </c>
      <c r="G47">
        <f t="shared" si="8"/>
        <v>0.97826086956521741</v>
      </c>
      <c r="H47">
        <v>1.1470000000000001E-2</v>
      </c>
      <c r="I47">
        <v>2.9520000000000001E-2</v>
      </c>
      <c r="O47">
        <v>49</v>
      </c>
    </row>
    <row r="48" spans="1:28" x14ac:dyDescent="0.35">
      <c r="A48">
        <v>46</v>
      </c>
      <c r="B48">
        <v>2070</v>
      </c>
      <c r="C48">
        <f t="shared" si="19"/>
        <v>2.8500000000000001E-2</v>
      </c>
      <c r="D48">
        <v>0</v>
      </c>
      <c r="E48">
        <f t="shared" si="9"/>
        <v>300</v>
      </c>
      <c r="F48">
        <v>0.15</v>
      </c>
      <c r="G48">
        <v>1</v>
      </c>
      <c r="H48">
        <v>1.1470000000000001E-2</v>
      </c>
      <c r="I48">
        <v>2.9520000000000001E-2</v>
      </c>
      <c r="O48">
        <v>49</v>
      </c>
    </row>
    <row r="49" spans="1:15" x14ac:dyDescent="0.35">
      <c r="A49">
        <v>47</v>
      </c>
      <c r="B49">
        <v>2071</v>
      </c>
      <c r="C49">
        <f t="shared" si="19"/>
        <v>2.8500000000000001E-2</v>
      </c>
      <c r="D49">
        <v>0</v>
      </c>
      <c r="E49">
        <f t="shared" si="9"/>
        <v>300</v>
      </c>
      <c r="F49">
        <v>0.15</v>
      </c>
      <c r="G49">
        <v>1</v>
      </c>
      <c r="H49">
        <v>1.1470000000000001E-2</v>
      </c>
      <c r="I49">
        <v>2.9520000000000001E-2</v>
      </c>
      <c r="O49">
        <v>49</v>
      </c>
    </row>
    <row r="50" spans="1:15" x14ac:dyDescent="0.35">
      <c r="A50">
        <v>48</v>
      </c>
      <c r="B50">
        <v>2072</v>
      </c>
      <c r="C50">
        <f t="shared" si="19"/>
        <v>2.8500000000000001E-2</v>
      </c>
      <c r="D50">
        <v>0</v>
      </c>
      <c r="E50">
        <f t="shared" si="9"/>
        <v>300</v>
      </c>
      <c r="F50">
        <v>0.15</v>
      </c>
      <c r="G50">
        <v>1</v>
      </c>
      <c r="H50">
        <v>1.1470000000000001E-2</v>
      </c>
      <c r="I50">
        <v>2.9520000000000001E-2</v>
      </c>
      <c r="O50">
        <v>49</v>
      </c>
    </row>
    <row r="51" spans="1:15" x14ac:dyDescent="0.35">
      <c r="A51">
        <v>49</v>
      </c>
      <c r="B51">
        <v>2073</v>
      </c>
      <c r="C51">
        <f t="shared" si="19"/>
        <v>2.8500000000000001E-2</v>
      </c>
      <c r="D51">
        <v>0</v>
      </c>
      <c r="E51">
        <f t="shared" si="9"/>
        <v>300</v>
      </c>
      <c r="F51">
        <v>0.15</v>
      </c>
      <c r="G51">
        <v>1</v>
      </c>
      <c r="H51">
        <v>1.1470000000000001E-2</v>
      </c>
      <c r="I51">
        <v>2.9520000000000001E-2</v>
      </c>
      <c r="O51">
        <v>49</v>
      </c>
    </row>
    <row r="52" spans="1:15" x14ac:dyDescent="0.35">
      <c r="A52">
        <v>50</v>
      </c>
      <c r="B52">
        <v>2074</v>
      </c>
      <c r="C52">
        <f t="shared" si="19"/>
        <v>2.8500000000000001E-2</v>
      </c>
      <c r="D52">
        <v>0</v>
      </c>
      <c r="E52">
        <f t="shared" si="9"/>
        <v>300</v>
      </c>
      <c r="F52">
        <v>0.15</v>
      </c>
      <c r="G52">
        <v>1</v>
      </c>
      <c r="H52">
        <v>1.1470000000000001E-2</v>
      </c>
      <c r="I52">
        <v>2.9520000000000001E-2</v>
      </c>
      <c r="O52">
        <v>49</v>
      </c>
    </row>
    <row r="53" spans="1:15" x14ac:dyDescent="0.35">
      <c r="A53">
        <v>51</v>
      </c>
      <c r="B53">
        <v>2075</v>
      </c>
      <c r="C53">
        <f t="shared" si="19"/>
        <v>2.8500000000000001E-2</v>
      </c>
      <c r="D53">
        <v>0</v>
      </c>
      <c r="E53">
        <f t="shared" si="9"/>
        <v>300</v>
      </c>
      <c r="F53">
        <v>0.15</v>
      </c>
      <c r="G53">
        <v>1</v>
      </c>
      <c r="H53">
        <v>1.1470000000000001E-2</v>
      </c>
      <c r="I53">
        <v>2.9520000000000001E-2</v>
      </c>
      <c r="O53">
        <v>49</v>
      </c>
    </row>
    <row r="54" spans="1:15" x14ac:dyDescent="0.35">
      <c r="A54">
        <v>52</v>
      </c>
      <c r="B54">
        <v>2076</v>
      </c>
      <c r="C54">
        <f t="shared" si="19"/>
        <v>2.8500000000000001E-2</v>
      </c>
      <c r="D54">
        <v>0</v>
      </c>
      <c r="E54">
        <f t="shared" si="9"/>
        <v>300</v>
      </c>
      <c r="F54">
        <v>0.15</v>
      </c>
      <c r="G54">
        <v>1</v>
      </c>
      <c r="H54">
        <v>1.1470000000000001E-2</v>
      </c>
      <c r="I54">
        <v>2.9520000000000001E-2</v>
      </c>
      <c r="O54">
        <v>49</v>
      </c>
    </row>
    <row r="55" spans="1:15" x14ac:dyDescent="0.35">
      <c r="A55">
        <v>53</v>
      </c>
      <c r="B55">
        <v>2077</v>
      </c>
      <c r="C55">
        <f t="shared" si="19"/>
        <v>2.8500000000000001E-2</v>
      </c>
      <c r="D55">
        <v>0</v>
      </c>
      <c r="E55">
        <f t="shared" si="9"/>
        <v>300</v>
      </c>
      <c r="F55">
        <v>0.15</v>
      </c>
      <c r="G55">
        <v>1</v>
      </c>
      <c r="H55">
        <v>1.1470000000000001E-2</v>
      </c>
      <c r="I55">
        <v>2.9520000000000001E-2</v>
      </c>
      <c r="O55">
        <v>49</v>
      </c>
    </row>
    <row r="56" spans="1:15" x14ac:dyDescent="0.35">
      <c r="A56">
        <v>54</v>
      </c>
      <c r="B56">
        <v>2078</v>
      </c>
      <c r="C56">
        <f t="shared" si="19"/>
        <v>2.8500000000000001E-2</v>
      </c>
      <c r="D56">
        <v>0</v>
      </c>
      <c r="E56">
        <f t="shared" si="9"/>
        <v>300</v>
      </c>
      <c r="F56">
        <v>0.15</v>
      </c>
      <c r="G56">
        <v>1</v>
      </c>
      <c r="H56">
        <v>1.1470000000000001E-2</v>
      </c>
      <c r="I56">
        <v>2.9520000000000001E-2</v>
      </c>
      <c r="O56">
        <v>49</v>
      </c>
    </row>
    <row r="57" spans="1:15" x14ac:dyDescent="0.35">
      <c r="A57">
        <v>55</v>
      </c>
      <c r="B57">
        <v>2079</v>
      </c>
      <c r="C57">
        <f t="shared" si="19"/>
        <v>2.8500000000000001E-2</v>
      </c>
      <c r="D57">
        <v>0</v>
      </c>
      <c r="E57">
        <f t="shared" si="9"/>
        <v>300</v>
      </c>
      <c r="F57">
        <v>0.15</v>
      </c>
      <c r="G57">
        <v>1</v>
      </c>
      <c r="H57">
        <v>1.1470000000000001E-2</v>
      </c>
      <c r="I57">
        <v>2.9520000000000001E-2</v>
      </c>
      <c r="O57">
        <v>49</v>
      </c>
    </row>
    <row r="58" spans="1:15" x14ac:dyDescent="0.35">
      <c r="A58">
        <v>56</v>
      </c>
      <c r="B58">
        <v>2080</v>
      </c>
      <c r="C58">
        <f t="shared" si="19"/>
        <v>2.8500000000000001E-2</v>
      </c>
      <c r="D58">
        <v>0</v>
      </c>
      <c r="E58">
        <f t="shared" si="9"/>
        <v>300</v>
      </c>
      <c r="F58">
        <v>0.15</v>
      </c>
      <c r="G58">
        <v>1</v>
      </c>
      <c r="H58">
        <v>1.1470000000000001E-2</v>
      </c>
      <c r="I58">
        <v>2.9520000000000001E-2</v>
      </c>
      <c r="O58">
        <v>49</v>
      </c>
    </row>
    <row r="59" spans="1:15" x14ac:dyDescent="0.35">
      <c r="A59">
        <v>57</v>
      </c>
      <c r="B59">
        <v>2081</v>
      </c>
      <c r="C59">
        <f t="shared" si="19"/>
        <v>2.8500000000000001E-2</v>
      </c>
      <c r="D59">
        <v>0</v>
      </c>
      <c r="E59">
        <f t="shared" si="9"/>
        <v>300</v>
      </c>
      <c r="F59">
        <v>0.15</v>
      </c>
      <c r="G59">
        <v>1</v>
      </c>
      <c r="H59">
        <v>1.1470000000000001E-2</v>
      </c>
      <c r="I59">
        <v>2.9520000000000001E-2</v>
      </c>
      <c r="O59">
        <v>49</v>
      </c>
    </row>
    <row r="60" spans="1:15" x14ac:dyDescent="0.35">
      <c r="A60">
        <v>58</v>
      </c>
      <c r="B60">
        <v>2082</v>
      </c>
      <c r="C60">
        <f t="shared" si="19"/>
        <v>2.8500000000000001E-2</v>
      </c>
      <c r="D60">
        <v>0</v>
      </c>
      <c r="E60">
        <f t="shared" si="9"/>
        <v>300</v>
      </c>
      <c r="F60">
        <v>0.15</v>
      </c>
      <c r="G60">
        <v>1</v>
      </c>
      <c r="H60">
        <v>1.1469999999999999E-2</v>
      </c>
      <c r="I60">
        <v>2.9520000000000001E-2</v>
      </c>
      <c r="O60">
        <v>49</v>
      </c>
    </row>
    <row r="61" spans="1:15" x14ac:dyDescent="0.35">
      <c r="A61">
        <v>59</v>
      </c>
      <c r="B61">
        <v>2083</v>
      </c>
      <c r="C61">
        <f t="shared" si="19"/>
        <v>2.8500000000000001E-2</v>
      </c>
      <c r="D61">
        <v>0</v>
      </c>
      <c r="E61">
        <f t="shared" si="9"/>
        <v>300</v>
      </c>
      <c r="F61">
        <v>0.15</v>
      </c>
      <c r="G61">
        <v>1</v>
      </c>
      <c r="H61">
        <v>1.1469999999999999E-2</v>
      </c>
      <c r="I61">
        <v>2.9520000000000001E-2</v>
      </c>
      <c r="O61">
        <v>49</v>
      </c>
    </row>
    <row r="62" spans="1:15" x14ac:dyDescent="0.35">
      <c r="A62">
        <v>60</v>
      </c>
      <c r="B62">
        <v>2084</v>
      </c>
      <c r="C62">
        <f t="shared" si="19"/>
        <v>2.8500000000000001E-2</v>
      </c>
      <c r="D62">
        <v>0</v>
      </c>
      <c r="E62">
        <f t="shared" si="9"/>
        <v>300</v>
      </c>
      <c r="F62">
        <v>0.15</v>
      </c>
      <c r="G62">
        <v>1</v>
      </c>
      <c r="H62">
        <v>1.1469999999999999E-2</v>
      </c>
      <c r="I62">
        <v>2.9520000000000001E-2</v>
      </c>
      <c r="O62">
        <v>49</v>
      </c>
    </row>
    <row r="63" spans="1:15" x14ac:dyDescent="0.35">
      <c r="A63">
        <v>61</v>
      </c>
      <c r="B63">
        <v>2085</v>
      </c>
      <c r="C63">
        <f t="shared" si="19"/>
        <v>2.8500000000000001E-2</v>
      </c>
      <c r="D63">
        <v>0</v>
      </c>
      <c r="E63">
        <f t="shared" si="9"/>
        <v>300</v>
      </c>
      <c r="F63">
        <v>0.15</v>
      </c>
      <c r="G63">
        <v>1</v>
      </c>
      <c r="H63">
        <v>1.1469999999999999E-2</v>
      </c>
      <c r="I63">
        <v>2.9520000000000001E-2</v>
      </c>
      <c r="O63">
        <v>49</v>
      </c>
    </row>
    <row r="64" spans="1:15" x14ac:dyDescent="0.35">
      <c r="A64">
        <v>62</v>
      </c>
      <c r="B64">
        <v>2086</v>
      </c>
      <c r="C64">
        <f t="shared" si="19"/>
        <v>2.8500000000000001E-2</v>
      </c>
      <c r="D64">
        <v>0</v>
      </c>
      <c r="E64">
        <f t="shared" si="9"/>
        <v>300</v>
      </c>
      <c r="F64">
        <v>0.15</v>
      </c>
      <c r="G64">
        <v>1</v>
      </c>
      <c r="H64">
        <v>1.1469999999999999E-2</v>
      </c>
      <c r="I64">
        <v>2.9520000000000001E-2</v>
      </c>
      <c r="O64">
        <v>49</v>
      </c>
    </row>
    <row r="65" spans="1:15" x14ac:dyDescent="0.35">
      <c r="A65">
        <v>63</v>
      </c>
      <c r="B65">
        <v>2087</v>
      </c>
      <c r="C65">
        <f t="shared" si="19"/>
        <v>2.8500000000000001E-2</v>
      </c>
      <c r="D65">
        <v>0</v>
      </c>
      <c r="E65">
        <f t="shared" si="9"/>
        <v>300</v>
      </c>
      <c r="F65">
        <v>0.15</v>
      </c>
      <c r="G65">
        <v>1</v>
      </c>
      <c r="H65">
        <v>1.1469999999999999E-2</v>
      </c>
      <c r="I65">
        <v>2.9520000000000001E-2</v>
      </c>
      <c r="O65">
        <v>49</v>
      </c>
    </row>
    <row r="66" spans="1:15" x14ac:dyDescent="0.35">
      <c r="A66">
        <v>64</v>
      </c>
      <c r="B66">
        <v>2088</v>
      </c>
      <c r="C66">
        <f t="shared" si="19"/>
        <v>2.8500000000000001E-2</v>
      </c>
      <c r="D66">
        <v>0</v>
      </c>
      <c r="E66">
        <f t="shared" si="9"/>
        <v>300</v>
      </c>
      <c r="F66">
        <v>0.15</v>
      </c>
      <c r="G66">
        <v>1</v>
      </c>
      <c r="H66">
        <v>1.1469999999999999E-2</v>
      </c>
      <c r="I66">
        <v>2.9520000000000001E-2</v>
      </c>
      <c r="O66">
        <v>49</v>
      </c>
    </row>
    <row r="67" spans="1:15" x14ac:dyDescent="0.35">
      <c r="A67">
        <v>65</v>
      </c>
      <c r="B67">
        <v>2089</v>
      </c>
      <c r="C67">
        <f t="shared" si="19"/>
        <v>2.8500000000000001E-2</v>
      </c>
      <c r="D67">
        <v>0</v>
      </c>
      <c r="E67">
        <f t="shared" si="9"/>
        <v>300</v>
      </c>
      <c r="F67">
        <v>0.15</v>
      </c>
      <c r="G67">
        <v>1</v>
      </c>
      <c r="H67">
        <v>1.1469999999999999E-2</v>
      </c>
      <c r="I67">
        <v>2.9520000000000001E-2</v>
      </c>
      <c r="O67">
        <v>49</v>
      </c>
    </row>
    <row r="68" spans="1:15" x14ac:dyDescent="0.35">
      <c r="A68">
        <v>66</v>
      </c>
      <c r="B68">
        <v>2090</v>
      </c>
      <c r="C68">
        <f t="shared" si="19"/>
        <v>2.8500000000000001E-2</v>
      </c>
      <c r="D68">
        <v>0</v>
      </c>
      <c r="E68">
        <f t="shared" si="9"/>
        <v>300</v>
      </c>
      <c r="F68">
        <v>0.15</v>
      </c>
      <c r="G68">
        <v>1</v>
      </c>
      <c r="H68">
        <v>1.1469999999999999E-2</v>
      </c>
      <c r="I68">
        <v>2.9520000000000001E-2</v>
      </c>
      <c r="O68">
        <v>49</v>
      </c>
    </row>
    <row r="69" spans="1:15" x14ac:dyDescent="0.35">
      <c r="A69">
        <v>67</v>
      </c>
      <c r="B69">
        <v>2091</v>
      </c>
      <c r="C69">
        <f t="shared" si="19"/>
        <v>2.8500000000000001E-2</v>
      </c>
      <c r="D69">
        <v>0</v>
      </c>
      <c r="E69">
        <f t="shared" si="9"/>
        <v>300</v>
      </c>
      <c r="F69">
        <v>0.15</v>
      </c>
      <c r="G69">
        <v>1</v>
      </c>
      <c r="H69">
        <v>1.1469999999999999E-2</v>
      </c>
      <c r="I69">
        <v>2.9520000000000001E-2</v>
      </c>
      <c r="O69">
        <v>49</v>
      </c>
    </row>
    <row r="70" spans="1:15" x14ac:dyDescent="0.35">
      <c r="A70">
        <v>68</v>
      </c>
      <c r="B70">
        <v>2092</v>
      </c>
      <c r="C70">
        <f t="shared" si="19"/>
        <v>2.8500000000000001E-2</v>
      </c>
      <c r="D70">
        <v>0</v>
      </c>
      <c r="E70">
        <f t="shared" si="9"/>
        <v>300</v>
      </c>
      <c r="F70">
        <v>0.15</v>
      </c>
      <c r="G70">
        <v>1</v>
      </c>
      <c r="H70">
        <v>1.1469999999999999E-2</v>
      </c>
      <c r="I70">
        <v>2.9520000000000001E-2</v>
      </c>
      <c r="O70">
        <v>49</v>
      </c>
    </row>
    <row r="71" spans="1:15" x14ac:dyDescent="0.35">
      <c r="A71">
        <v>69</v>
      </c>
      <c r="B71">
        <v>2093</v>
      </c>
      <c r="C71">
        <f t="shared" si="19"/>
        <v>2.8500000000000001E-2</v>
      </c>
      <c r="D71">
        <v>0</v>
      </c>
      <c r="E71">
        <f t="shared" si="9"/>
        <v>300</v>
      </c>
      <c r="F71">
        <v>0.15</v>
      </c>
      <c r="G71">
        <v>1</v>
      </c>
      <c r="H71">
        <v>1.1469999999999999E-2</v>
      </c>
      <c r="I71">
        <v>2.9520000000000001E-2</v>
      </c>
      <c r="O71">
        <v>49</v>
      </c>
    </row>
    <row r="72" spans="1:15" x14ac:dyDescent="0.35">
      <c r="A72">
        <v>70</v>
      </c>
      <c r="B72">
        <v>2094</v>
      </c>
      <c r="C72">
        <f t="shared" si="19"/>
        <v>2.8500000000000001E-2</v>
      </c>
      <c r="D72">
        <v>0</v>
      </c>
      <c r="E72">
        <f t="shared" ref="E72:E101" si="20">MIN((B72-$B$6)*35,300)</f>
        <v>300</v>
      </c>
      <c r="F72">
        <v>0.15</v>
      </c>
      <c r="G72">
        <v>1</v>
      </c>
      <c r="H72">
        <v>1.1469999999999999E-2</v>
      </c>
      <c r="I72">
        <v>2.9520000000000001E-2</v>
      </c>
      <c r="O72">
        <v>49</v>
      </c>
    </row>
    <row r="73" spans="1:15" x14ac:dyDescent="0.35">
      <c r="A73">
        <v>71</v>
      </c>
      <c r="B73">
        <v>2095</v>
      </c>
      <c r="C73">
        <f t="shared" si="19"/>
        <v>2.8500000000000001E-2</v>
      </c>
      <c r="D73">
        <v>0</v>
      </c>
      <c r="E73">
        <f t="shared" si="20"/>
        <v>300</v>
      </c>
      <c r="F73">
        <v>0.15</v>
      </c>
      <c r="G73">
        <v>1</v>
      </c>
      <c r="H73">
        <v>1.1469999999999999E-2</v>
      </c>
      <c r="I73">
        <v>2.9520000000000001E-2</v>
      </c>
      <c r="O73">
        <v>49</v>
      </c>
    </row>
    <row r="74" spans="1:15" x14ac:dyDescent="0.35">
      <c r="A74">
        <v>72</v>
      </c>
      <c r="B74">
        <v>2096</v>
      </c>
      <c r="C74">
        <f t="shared" si="19"/>
        <v>2.8500000000000001E-2</v>
      </c>
      <c r="D74">
        <v>0</v>
      </c>
      <c r="E74">
        <f t="shared" si="20"/>
        <v>300</v>
      </c>
      <c r="F74">
        <v>0.15</v>
      </c>
      <c r="G74">
        <v>1</v>
      </c>
      <c r="H74">
        <v>1.1469999999999999E-2</v>
      </c>
      <c r="I74">
        <v>2.9520000000000001E-2</v>
      </c>
      <c r="O74">
        <v>49</v>
      </c>
    </row>
    <row r="75" spans="1:15" x14ac:dyDescent="0.35">
      <c r="A75">
        <v>73</v>
      </c>
      <c r="B75">
        <v>2097</v>
      </c>
      <c r="C75">
        <f t="shared" si="19"/>
        <v>2.8500000000000001E-2</v>
      </c>
      <c r="D75">
        <v>0</v>
      </c>
      <c r="E75">
        <f t="shared" si="20"/>
        <v>300</v>
      </c>
      <c r="F75">
        <v>0.15</v>
      </c>
      <c r="G75">
        <v>1</v>
      </c>
      <c r="H75">
        <v>1.1469999999999999E-2</v>
      </c>
      <c r="I75">
        <v>2.9520000000000001E-2</v>
      </c>
      <c r="O75">
        <v>49</v>
      </c>
    </row>
    <row r="76" spans="1:15" x14ac:dyDescent="0.35">
      <c r="A76">
        <v>74</v>
      </c>
      <c r="B76">
        <v>2098</v>
      </c>
      <c r="C76">
        <f t="shared" si="19"/>
        <v>2.8500000000000001E-2</v>
      </c>
      <c r="D76">
        <v>0</v>
      </c>
      <c r="E76">
        <f t="shared" si="20"/>
        <v>300</v>
      </c>
      <c r="F76">
        <v>0.15</v>
      </c>
      <c r="G76">
        <v>1</v>
      </c>
      <c r="H76">
        <v>1.1469999999999999E-2</v>
      </c>
      <c r="I76">
        <v>2.9520000000000001E-2</v>
      </c>
      <c r="O76">
        <v>49</v>
      </c>
    </row>
    <row r="77" spans="1:15" x14ac:dyDescent="0.35">
      <c r="A77">
        <v>75</v>
      </c>
      <c r="B77">
        <v>2099</v>
      </c>
      <c r="C77">
        <f t="shared" si="19"/>
        <v>2.8500000000000001E-2</v>
      </c>
      <c r="D77">
        <v>0</v>
      </c>
      <c r="E77">
        <f t="shared" si="20"/>
        <v>300</v>
      </c>
      <c r="F77">
        <v>0.15</v>
      </c>
      <c r="G77">
        <v>1</v>
      </c>
      <c r="H77">
        <v>1.1469999999999999E-2</v>
      </c>
      <c r="I77">
        <v>2.9520000000000001E-2</v>
      </c>
      <c r="O77">
        <v>49</v>
      </c>
    </row>
    <row r="78" spans="1:15" x14ac:dyDescent="0.35">
      <c r="A78">
        <v>76</v>
      </c>
      <c r="B78">
        <v>2100</v>
      </c>
      <c r="C78">
        <f t="shared" si="19"/>
        <v>2.8500000000000001E-2</v>
      </c>
      <c r="D78">
        <v>0</v>
      </c>
      <c r="E78">
        <f t="shared" si="20"/>
        <v>300</v>
      </c>
      <c r="F78">
        <v>0.15</v>
      </c>
      <c r="G78">
        <v>1</v>
      </c>
      <c r="H78">
        <v>1.1469999999999999E-2</v>
      </c>
      <c r="I78">
        <v>2.9520000000000001E-2</v>
      </c>
      <c r="O78">
        <v>49</v>
      </c>
    </row>
    <row r="79" spans="1:15" x14ac:dyDescent="0.35">
      <c r="A79">
        <v>77</v>
      </c>
      <c r="B79">
        <v>2101</v>
      </c>
      <c r="C79">
        <f t="shared" si="19"/>
        <v>2.8500000000000001E-2</v>
      </c>
      <c r="D79">
        <v>0</v>
      </c>
      <c r="E79">
        <f t="shared" si="20"/>
        <v>300</v>
      </c>
      <c r="F79">
        <v>0.15</v>
      </c>
      <c r="G79">
        <v>1</v>
      </c>
      <c r="H79">
        <v>1.1469999999999999E-2</v>
      </c>
      <c r="I79">
        <v>2.9520000000000001E-2</v>
      </c>
      <c r="O79">
        <v>49</v>
      </c>
    </row>
    <row r="80" spans="1:15" x14ac:dyDescent="0.35">
      <c r="A80">
        <v>78</v>
      </c>
      <c r="B80">
        <v>2102</v>
      </c>
      <c r="C80">
        <f t="shared" si="19"/>
        <v>2.8500000000000001E-2</v>
      </c>
      <c r="D80">
        <v>0</v>
      </c>
      <c r="E80">
        <f t="shared" si="20"/>
        <v>300</v>
      </c>
      <c r="F80">
        <v>0.15</v>
      </c>
      <c r="G80">
        <v>1</v>
      </c>
      <c r="H80">
        <v>1.1469999999999999E-2</v>
      </c>
      <c r="I80">
        <v>2.9520000000000001E-2</v>
      </c>
      <c r="O80">
        <v>49</v>
      </c>
    </row>
    <row r="81" spans="1:15" x14ac:dyDescent="0.35">
      <c r="A81">
        <v>79</v>
      </c>
      <c r="B81">
        <v>2103</v>
      </c>
      <c r="C81">
        <f t="shared" si="19"/>
        <v>2.8500000000000001E-2</v>
      </c>
      <c r="D81">
        <v>0</v>
      </c>
      <c r="E81">
        <f t="shared" si="20"/>
        <v>300</v>
      </c>
      <c r="F81">
        <v>0.15</v>
      </c>
      <c r="G81">
        <v>1</v>
      </c>
      <c r="H81">
        <v>1.1469999999999999E-2</v>
      </c>
      <c r="I81">
        <v>2.9520000000000001E-2</v>
      </c>
      <c r="O81">
        <v>49</v>
      </c>
    </row>
    <row r="82" spans="1:15" x14ac:dyDescent="0.35">
      <c r="A82">
        <v>80</v>
      </c>
      <c r="B82">
        <v>2104</v>
      </c>
      <c r="C82">
        <f t="shared" si="19"/>
        <v>2.8500000000000001E-2</v>
      </c>
      <c r="D82">
        <v>0</v>
      </c>
      <c r="E82">
        <f t="shared" si="20"/>
        <v>300</v>
      </c>
      <c r="F82">
        <v>0.15</v>
      </c>
      <c r="G82">
        <v>1</v>
      </c>
      <c r="H82">
        <v>1.1469999999999999E-2</v>
      </c>
      <c r="I82">
        <v>2.9520000000000001E-2</v>
      </c>
      <c r="O82">
        <v>49</v>
      </c>
    </row>
    <row r="83" spans="1:15" x14ac:dyDescent="0.35">
      <c r="A83">
        <v>81</v>
      </c>
      <c r="B83">
        <v>2105</v>
      </c>
      <c r="C83">
        <f t="shared" si="19"/>
        <v>2.8500000000000001E-2</v>
      </c>
      <c r="D83">
        <v>0</v>
      </c>
      <c r="E83">
        <f t="shared" si="20"/>
        <v>300</v>
      </c>
      <c r="F83">
        <v>0.15</v>
      </c>
      <c r="G83">
        <v>1</v>
      </c>
      <c r="H83">
        <v>1.1469999999999999E-2</v>
      </c>
      <c r="I83">
        <v>2.9520000000000001E-2</v>
      </c>
      <c r="O83">
        <v>49</v>
      </c>
    </row>
    <row r="84" spans="1:15" x14ac:dyDescent="0.35">
      <c r="A84">
        <v>82</v>
      </c>
      <c r="B84">
        <v>2106</v>
      </c>
      <c r="C84">
        <f t="shared" si="19"/>
        <v>2.8500000000000001E-2</v>
      </c>
      <c r="D84">
        <v>0</v>
      </c>
      <c r="E84">
        <f t="shared" si="20"/>
        <v>300</v>
      </c>
      <c r="F84">
        <v>0.15</v>
      </c>
      <c r="G84">
        <v>1</v>
      </c>
      <c r="H84">
        <v>1.1469999999999999E-2</v>
      </c>
      <c r="I84">
        <v>2.9520000000000001E-2</v>
      </c>
      <c r="O84">
        <v>49</v>
      </c>
    </row>
    <row r="85" spans="1:15" x14ac:dyDescent="0.35">
      <c r="A85">
        <v>83</v>
      </c>
      <c r="B85">
        <v>2107</v>
      </c>
      <c r="C85">
        <f t="shared" si="19"/>
        <v>2.8500000000000001E-2</v>
      </c>
      <c r="D85">
        <v>0</v>
      </c>
      <c r="E85">
        <f t="shared" si="20"/>
        <v>300</v>
      </c>
      <c r="F85">
        <v>0.15</v>
      </c>
      <c r="G85">
        <v>1</v>
      </c>
      <c r="H85">
        <v>1.1469999999999999E-2</v>
      </c>
      <c r="I85">
        <v>2.9520000000000001E-2</v>
      </c>
      <c r="O85">
        <v>49</v>
      </c>
    </row>
    <row r="86" spans="1:15" x14ac:dyDescent="0.35">
      <c r="A86">
        <v>84</v>
      </c>
      <c r="B86">
        <v>2108</v>
      </c>
      <c r="C86">
        <f t="shared" si="19"/>
        <v>2.8500000000000001E-2</v>
      </c>
      <c r="D86">
        <v>0</v>
      </c>
      <c r="E86">
        <f t="shared" si="20"/>
        <v>300</v>
      </c>
      <c r="F86">
        <v>0.15</v>
      </c>
      <c r="G86">
        <v>1</v>
      </c>
      <c r="H86">
        <v>1.1469999999999999E-2</v>
      </c>
      <c r="I86">
        <v>2.9520000000000001E-2</v>
      </c>
      <c r="O86">
        <v>49</v>
      </c>
    </row>
    <row r="87" spans="1:15" x14ac:dyDescent="0.35">
      <c r="A87">
        <v>85</v>
      </c>
      <c r="B87">
        <v>2109</v>
      </c>
      <c r="C87">
        <f t="shared" si="19"/>
        <v>2.8500000000000001E-2</v>
      </c>
      <c r="D87">
        <v>0</v>
      </c>
      <c r="E87">
        <f t="shared" si="20"/>
        <v>300</v>
      </c>
      <c r="F87">
        <v>0.15</v>
      </c>
      <c r="G87">
        <v>1</v>
      </c>
      <c r="H87">
        <v>1.1469999999999999E-2</v>
      </c>
      <c r="I87">
        <v>2.9520000000000001E-2</v>
      </c>
      <c r="O87">
        <v>49</v>
      </c>
    </row>
    <row r="88" spans="1:15" x14ac:dyDescent="0.35">
      <c r="A88">
        <v>86</v>
      </c>
      <c r="B88">
        <v>2110</v>
      </c>
      <c r="C88">
        <f t="shared" si="19"/>
        <v>2.8500000000000001E-2</v>
      </c>
      <c r="D88">
        <v>0</v>
      </c>
      <c r="E88">
        <f t="shared" si="20"/>
        <v>300</v>
      </c>
      <c r="F88">
        <v>0.15</v>
      </c>
      <c r="G88">
        <v>1</v>
      </c>
      <c r="H88">
        <v>1.1469999999999999E-2</v>
      </c>
      <c r="I88">
        <v>2.9520000000000001E-2</v>
      </c>
      <c r="O88">
        <v>49</v>
      </c>
    </row>
    <row r="89" spans="1:15" x14ac:dyDescent="0.35">
      <c r="A89">
        <v>87</v>
      </c>
      <c r="B89">
        <v>2111</v>
      </c>
      <c r="C89">
        <f t="shared" si="19"/>
        <v>2.8500000000000001E-2</v>
      </c>
      <c r="D89">
        <v>0</v>
      </c>
      <c r="E89">
        <f t="shared" si="20"/>
        <v>300</v>
      </c>
      <c r="F89">
        <v>0.15</v>
      </c>
      <c r="G89">
        <v>1</v>
      </c>
      <c r="H89">
        <v>1.1469999999999999E-2</v>
      </c>
      <c r="I89">
        <v>2.9520000000000001E-2</v>
      </c>
      <c r="O89">
        <v>49</v>
      </c>
    </row>
    <row r="90" spans="1:15" x14ac:dyDescent="0.35">
      <c r="A90">
        <v>88</v>
      </c>
      <c r="B90">
        <v>2112</v>
      </c>
      <c r="C90">
        <f t="shared" si="19"/>
        <v>2.8500000000000001E-2</v>
      </c>
      <c r="D90">
        <v>0</v>
      </c>
      <c r="E90">
        <f t="shared" si="20"/>
        <v>300</v>
      </c>
      <c r="F90">
        <v>0.15</v>
      </c>
      <c r="G90">
        <v>1</v>
      </c>
      <c r="H90">
        <v>1.1469999999999999E-2</v>
      </c>
      <c r="I90">
        <v>2.9520000000000001E-2</v>
      </c>
      <c r="O90">
        <v>49</v>
      </c>
    </row>
    <row r="91" spans="1:15" x14ac:dyDescent="0.35">
      <c r="A91">
        <v>89</v>
      </c>
      <c r="B91">
        <v>2113</v>
      </c>
      <c r="C91">
        <f t="shared" si="19"/>
        <v>2.8500000000000001E-2</v>
      </c>
      <c r="D91">
        <v>0</v>
      </c>
      <c r="E91">
        <f t="shared" si="20"/>
        <v>300</v>
      </c>
      <c r="F91">
        <v>0.15</v>
      </c>
      <c r="G91">
        <v>1</v>
      </c>
      <c r="H91">
        <v>1.1469999999999999E-2</v>
      </c>
      <c r="I91">
        <v>2.9520000000000001E-2</v>
      </c>
      <c r="O91">
        <v>49</v>
      </c>
    </row>
    <row r="92" spans="1:15" x14ac:dyDescent="0.35">
      <c r="A92">
        <v>90</v>
      </c>
      <c r="B92">
        <v>2114</v>
      </c>
      <c r="C92">
        <f t="shared" si="19"/>
        <v>2.8500000000000001E-2</v>
      </c>
      <c r="D92">
        <v>0</v>
      </c>
      <c r="E92">
        <f t="shared" si="20"/>
        <v>300</v>
      </c>
      <c r="F92">
        <v>0.15</v>
      </c>
      <c r="G92">
        <v>1</v>
      </c>
      <c r="H92">
        <v>1.1469999999999999E-2</v>
      </c>
      <c r="I92">
        <v>2.9520000000000001E-2</v>
      </c>
      <c r="O92">
        <v>49</v>
      </c>
    </row>
    <row r="93" spans="1:15" x14ac:dyDescent="0.35">
      <c r="A93">
        <v>91</v>
      </c>
      <c r="B93">
        <v>2115</v>
      </c>
      <c r="C93">
        <f t="shared" si="19"/>
        <v>2.8500000000000001E-2</v>
      </c>
      <c r="D93">
        <v>0</v>
      </c>
      <c r="E93">
        <f t="shared" si="20"/>
        <v>300</v>
      </c>
      <c r="F93">
        <v>0.15</v>
      </c>
      <c r="G93">
        <v>1</v>
      </c>
      <c r="H93">
        <v>1.1469999999999999E-2</v>
      </c>
      <c r="I93">
        <v>2.9520000000000001E-2</v>
      </c>
      <c r="O93">
        <v>49</v>
      </c>
    </row>
    <row r="94" spans="1:15" x14ac:dyDescent="0.35">
      <c r="A94">
        <v>92</v>
      </c>
      <c r="B94">
        <v>2116</v>
      </c>
      <c r="C94">
        <f t="shared" ref="C94:C101" si="21">$C$28</f>
        <v>2.8500000000000001E-2</v>
      </c>
      <c r="D94">
        <v>0</v>
      </c>
      <c r="E94">
        <f t="shared" si="20"/>
        <v>300</v>
      </c>
      <c r="F94">
        <v>0.15</v>
      </c>
      <c r="G94">
        <v>1</v>
      </c>
      <c r="H94">
        <v>1.1469999999999999E-2</v>
      </c>
      <c r="I94">
        <v>2.9520000000000001E-2</v>
      </c>
      <c r="O94">
        <v>49</v>
      </c>
    </row>
    <row r="95" spans="1:15" x14ac:dyDescent="0.35">
      <c r="A95">
        <v>93</v>
      </c>
      <c r="B95">
        <v>2117</v>
      </c>
      <c r="C95">
        <f t="shared" si="21"/>
        <v>2.8500000000000001E-2</v>
      </c>
      <c r="D95">
        <v>0</v>
      </c>
      <c r="E95">
        <f t="shared" si="20"/>
        <v>300</v>
      </c>
      <c r="F95">
        <v>0.15</v>
      </c>
      <c r="G95">
        <v>1</v>
      </c>
      <c r="H95">
        <v>1.1469999999999999E-2</v>
      </c>
      <c r="I95">
        <v>2.9520000000000001E-2</v>
      </c>
      <c r="O95">
        <v>49</v>
      </c>
    </row>
    <row r="96" spans="1:15" x14ac:dyDescent="0.35">
      <c r="A96">
        <v>94</v>
      </c>
      <c r="B96">
        <v>2118</v>
      </c>
      <c r="C96">
        <f t="shared" si="21"/>
        <v>2.8500000000000001E-2</v>
      </c>
      <c r="D96">
        <v>0</v>
      </c>
      <c r="E96">
        <f t="shared" si="20"/>
        <v>300</v>
      </c>
      <c r="F96">
        <v>0.15</v>
      </c>
      <c r="G96">
        <v>1</v>
      </c>
      <c r="H96">
        <v>1.1469999999999999E-2</v>
      </c>
      <c r="I96">
        <v>2.9520000000000001E-2</v>
      </c>
      <c r="O96">
        <v>49</v>
      </c>
    </row>
    <row r="97" spans="1:15" x14ac:dyDescent="0.35">
      <c r="A97">
        <v>95</v>
      </c>
      <c r="B97">
        <v>2119</v>
      </c>
      <c r="C97">
        <f t="shared" si="21"/>
        <v>2.8500000000000001E-2</v>
      </c>
      <c r="D97">
        <v>0</v>
      </c>
      <c r="E97">
        <f t="shared" si="20"/>
        <v>300</v>
      </c>
      <c r="F97">
        <v>0.15</v>
      </c>
      <c r="G97">
        <v>1</v>
      </c>
      <c r="H97">
        <v>1.1469999999999999E-2</v>
      </c>
      <c r="I97">
        <v>2.9520000000000001E-2</v>
      </c>
      <c r="O97">
        <v>49</v>
      </c>
    </row>
    <row r="98" spans="1:15" x14ac:dyDescent="0.35">
      <c r="A98">
        <v>96</v>
      </c>
      <c r="B98">
        <v>2120</v>
      </c>
      <c r="C98">
        <f t="shared" si="21"/>
        <v>2.8500000000000001E-2</v>
      </c>
      <c r="D98">
        <v>0</v>
      </c>
      <c r="E98">
        <f t="shared" si="20"/>
        <v>300</v>
      </c>
      <c r="F98">
        <v>0.15</v>
      </c>
      <c r="G98">
        <v>1</v>
      </c>
      <c r="H98">
        <v>1.1469999999999999E-2</v>
      </c>
      <c r="I98">
        <v>2.9520000000000001E-2</v>
      </c>
      <c r="O98">
        <v>49</v>
      </c>
    </row>
    <row r="99" spans="1:15" x14ac:dyDescent="0.35">
      <c r="A99">
        <v>97</v>
      </c>
      <c r="B99">
        <v>2121</v>
      </c>
      <c r="C99">
        <f t="shared" si="21"/>
        <v>2.8500000000000001E-2</v>
      </c>
      <c r="D99">
        <v>0</v>
      </c>
      <c r="E99">
        <f t="shared" si="20"/>
        <v>300</v>
      </c>
      <c r="F99">
        <v>0.15</v>
      </c>
      <c r="G99">
        <v>1</v>
      </c>
      <c r="H99">
        <v>1.1469999999999999E-2</v>
      </c>
      <c r="I99">
        <v>2.9520000000000001E-2</v>
      </c>
      <c r="O99">
        <v>49</v>
      </c>
    </row>
    <row r="100" spans="1:15" x14ac:dyDescent="0.35">
      <c r="A100">
        <v>98</v>
      </c>
      <c r="B100">
        <v>2122</v>
      </c>
      <c r="C100">
        <f t="shared" si="21"/>
        <v>2.8500000000000001E-2</v>
      </c>
      <c r="D100">
        <v>0</v>
      </c>
      <c r="E100">
        <f t="shared" si="20"/>
        <v>300</v>
      </c>
      <c r="F100">
        <v>0.15</v>
      </c>
      <c r="G100">
        <v>1</v>
      </c>
      <c r="H100">
        <v>1.1469999999999999E-2</v>
      </c>
      <c r="I100">
        <v>2.9520000000000001E-2</v>
      </c>
      <c r="O100">
        <v>49</v>
      </c>
    </row>
    <row r="101" spans="1:15" x14ac:dyDescent="0.35">
      <c r="A101">
        <v>99</v>
      </c>
      <c r="B101">
        <v>2123</v>
      </c>
      <c r="C101">
        <f t="shared" si="21"/>
        <v>2.8500000000000001E-2</v>
      </c>
      <c r="D101">
        <v>0</v>
      </c>
      <c r="E101">
        <f t="shared" si="20"/>
        <v>300</v>
      </c>
      <c r="F101">
        <v>0.15</v>
      </c>
      <c r="G101">
        <v>1</v>
      </c>
      <c r="H101">
        <v>1.1469999999999999E-2</v>
      </c>
      <c r="I101">
        <v>2.9520000000000001E-2</v>
      </c>
      <c r="O101">
        <v>49</v>
      </c>
    </row>
  </sheetData>
  <conditionalFormatting sqref="C2:C101">
    <cfRule type="colorScale" priority="12">
      <colorScale>
        <cfvo type="min"/>
        <cfvo type="percentile" val="50"/>
        <cfvo type="max"/>
        <color rgb="FF63BE7B"/>
        <color rgb="FFFFEB84"/>
        <color rgb="FFF8696B"/>
      </colorScale>
    </cfRule>
  </conditionalFormatting>
  <conditionalFormatting sqref="H2:H101">
    <cfRule type="colorScale" priority="10">
      <colorScale>
        <cfvo type="min"/>
        <cfvo type="percentile" val="50"/>
        <cfvo type="max"/>
        <color rgb="FF63BE7B"/>
        <color rgb="FFFFEB84"/>
        <color rgb="FFF8696B"/>
      </colorScale>
    </cfRule>
  </conditionalFormatting>
  <conditionalFormatting sqref="I2:I101">
    <cfRule type="colorScale" priority="9">
      <colorScale>
        <cfvo type="min"/>
        <cfvo type="percentile" val="50"/>
        <cfvo type="max"/>
        <color rgb="FF63BE7B"/>
        <color rgb="FFFFEB84"/>
        <color rgb="FFF8696B"/>
      </colorScale>
    </cfRule>
  </conditionalFormatting>
  <conditionalFormatting sqref="D2:E101">
    <cfRule type="colorScale" priority="6">
      <colorScale>
        <cfvo type="min"/>
        <cfvo type="percentile" val="50"/>
        <cfvo type="max"/>
        <color rgb="FF63BE7B"/>
        <color rgb="FFFFEB84"/>
        <color rgb="FFF8696B"/>
      </colorScale>
    </cfRule>
  </conditionalFormatting>
  <conditionalFormatting sqref="F2:G101">
    <cfRule type="colorScale" priority="3">
      <colorScale>
        <cfvo type="min"/>
        <cfvo type="percentile" val="50"/>
        <cfvo type="max"/>
        <color rgb="FF63BE7B"/>
        <color rgb="FFFFEB84"/>
        <color rgb="FFF8696B"/>
      </colorScale>
    </cfRule>
  </conditionalFormatting>
  <conditionalFormatting sqref="F2:F101">
    <cfRule type="colorScale" priority="2">
      <colorScale>
        <cfvo type="min"/>
        <cfvo type="percentile" val="50"/>
        <cfvo type="max"/>
        <color rgb="FF63BE7B"/>
        <color rgb="FFFFEB84"/>
        <color rgb="FFF8696B"/>
      </colorScale>
    </cfRule>
  </conditionalFormatting>
  <conditionalFormatting sqref="G3:G48">
    <cfRule type="colorScale" priority="1">
      <colorScale>
        <cfvo type="min"/>
        <cfvo type="percentile" val="50"/>
        <cfvo type="max"/>
        <color rgb="FF63BE7B"/>
        <color rgb="FFFFEB84"/>
        <color rgb="FFF8696B"/>
      </colorScale>
    </cfRule>
  </conditionalFormatting>
  <hyperlinks>
    <hyperlink ref="N1" r:id="rId1" display="Carbon credit price [€/tCO2]" xr:uid="{D4D23D33-8CF0-4D9F-845E-762E1C427216}"/>
    <hyperlink ref="K1" r:id="rId2" xr:uid="{988E7903-593F-4435-961B-4C319F786319}"/>
    <hyperlink ref="C1" r:id="rId3" xr:uid="{0385CB92-5104-4542-B9E0-381A6CB3CB0B}"/>
    <hyperlink ref="U1" r:id="rId4" xr:uid="{FD2F4164-58BE-433D-8899-2EB4868062DD}"/>
    <hyperlink ref="V1" r:id="rId5" xr:uid="{931A15FB-D74F-45CA-87C8-3D528EDCFF39}"/>
    <hyperlink ref="W1" r:id="rId6" xr:uid="{B3B89303-1A36-4FCE-A5FA-4265D131E7A8}"/>
    <hyperlink ref="J1" r:id="rId7" xr:uid="{F0B04656-2ADD-40AC-BF7C-683AA142AADB}"/>
    <hyperlink ref="X1" r:id="rId8" display="Electricity cost [€/kWh]" xr:uid="{7075E380-8DCE-40CB-B9BC-E61D6974BCB5}"/>
    <hyperlink ref="AB1" r:id="rId9" display="Carbon intensity electricity [tCO2e/kWh]" xr:uid="{9DCC10DF-6729-433D-B392-ED465FAFD152}"/>
    <hyperlink ref="H1" r:id="rId10" xr:uid="{61B30D97-6AB2-409C-903F-EF8A4F7A2D2F}"/>
    <hyperlink ref="F1" r:id="rId11" display="Kerosene [€/kWh]" xr:uid="{D6B23D3E-E0B9-4D44-AA94-B3B362C1C6B9}"/>
    <hyperlink ref="G1" r:id="rId12" display="Kerosene [€/kWh]" xr:uid="{FD2D2340-8E80-41A4-B183-70B1314E6D8F}"/>
  </hyperlinks>
  <pageMargins left="0.7" right="0.7" top="0.75" bottom="0.75" header="0.3" footer="0.3"/>
  <pageSetup orientation="portrait"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DC61-464D-4AEB-B244-6BDB46FE6930}">
  <dimension ref="A1:O56"/>
  <sheetViews>
    <sheetView tabSelected="1" topLeftCell="F1" zoomScale="85" zoomScaleNormal="85" workbookViewId="0">
      <selection activeCell="M8" sqref="M8"/>
    </sheetView>
  </sheetViews>
  <sheetFormatPr defaultRowHeight="14.5" x14ac:dyDescent="0.35"/>
  <cols>
    <col min="1" max="1" width="47.08984375" bestFit="1" customWidth="1"/>
    <col min="2" max="2" width="18.08984375" bestFit="1" customWidth="1"/>
    <col min="3" max="3" width="14.26953125" bestFit="1" customWidth="1"/>
    <col min="4" max="4" width="16.26953125" bestFit="1" customWidth="1"/>
    <col min="5" max="5" width="23.08984375" bestFit="1" customWidth="1"/>
    <col min="6" max="6" width="21.7265625" bestFit="1" customWidth="1"/>
    <col min="7" max="7" width="20.81640625" bestFit="1" customWidth="1"/>
    <col min="8" max="8" width="21.6328125" bestFit="1" customWidth="1"/>
    <col min="9" max="9" width="16.90625" customWidth="1"/>
    <col min="10" max="10" width="8.08984375" customWidth="1"/>
    <col min="11" max="11" width="21.7265625" bestFit="1" customWidth="1"/>
    <col min="12" max="13" width="14.453125" bestFit="1" customWidth="1"/>
    <col min="14" max="14" width="13.26953125" bestFit="1" customWidth="1"/>
    <col min="15" max="15" width="15.26953125" bestFit="1" customWidth="1"/>
  </cols>
  <sheetData>
    <row r="1" spans="1:15" x14ac:dyDescent="0.35">
      <c r="A1" s="1" t="s">
        <v>318</v>
      </c>
    </row>
    <row r="2" spans="1:15" x14ac:dyDescent="0.35">
      <c r="A2" t="s">
        <v>300</v>
      </c>
      <c r="B2" s="42" t="s">
        <v>301</v>
      </c>
      <c r="C2" s="42" t="s">
        <v>302</v>
      </c>
      <c r="D2" s="42" t="s">
        <v>323</v>
      </c>
      <c r="E2" s="42" t="s">
        <v>335</v>
      </c>
      <c r="F2" s="42" t="s">
        <v>336</v>
      </c>
      <c r="G2" s="42" t="s">
        <v>303</v>
      </c>
      <c r="H2" s="42" t="s">
        <v>304</v>
      </c>
      <c r="I2" s="42" t="s">
        <v>305</v>
      </c>
      <c r="J2" s="42" t="s">
        <v>306</v>
      </c>
      <c r="K2" s="42" t="s">
        <v>307</v>
      </c>
      <c r="L2" s="42" t="s">
        <v>308</v>
      </c>
      <c r="M2" s="42" t="s">
        <v>309</v>
      </c>
      <c r="N2" s="42" t="s">
        <v>345</v>
      </c>
      <c r="O2" s="42" t="s">
        <v>346</v>
      </c>
    </row>
    <row r="3" spans="1:15" x14ac:dyDescent="0.35">
      <c r="A3" t="s">
        <v>337</v>
      </c>
      <c r="B3" s="43">
        <v>17.417399999999901</v>
      </c>
      <c r="C3" s="43">
        <v>61.690800000000003</v>
      </c>
      <c r="D3" s="43">
        <v>4041.9738763754999</v>
      </c>
      <c r="E3" s="43">
        <v>61.338252839773403</v>
      </c>
      <c r="F3" s="43">
        <v>38.661747160226497</v>
      </c>
      <c r="G3" s="43">
        <v>71.766616740259494</v>
      </c>
      <c r="H3" s="43">
        <v>232.06528393305001</v>
      </c>
      <c r="I3" s="43">
        <v>-3672.1061237428598</v>
      </c>
      <c r="J3" s="43">
        <v>1.7283323749875901</v>
      </c>
      <c r="K3" s="43">
        <v>211.99487402522001</v>
      </c>
      <c r="L3" s="43">
        <v>4344.0528025072199</v>
      </c>
      <c r="M3" s="43">
        <v>4344.0528025072199</v>
      </c>
      <c r="N3" s="43">
        <v>131.41742675143999</v>
      </c>
      <c r="O3" s="43">
        <v>171.606177035255</v>
      </c>
    </row>
    <row r="4" spans="1:15" x14ac:dyDescent="0.35">
      <c r="A4" t="s">
        <v>311</v>
      </c>
      <c r="B4" s="39">
        <v>17.427</v>
      </c>
      <c r="C4" s="39">
        <v>17.427</v>
      </c>
      <c r="D4" s="39">
        <v>12156.820235204499</v>
      </c>
      <c r="E4" s="43">
        <v>100</v>
      </c>
      <c r="F4" s="43">
        <v>0</v>
      </c>
      <c r="G4" s="39">
        <v>0</v>
      </c>
      <c r="H4" s="39">
        <v>697.58536955325496</v>
      </c>
      <c r="I4" s="39">
        <v>191.165572145271</v>
      </c>
      <c r="J4" s="39">
        <v>14.216379044938201</v>
      </c>
      <c r="K4" s="39">
        <v>0</v>
      </c>
      <c r="L4" s="39">
        <v>599.99522217127901</v>
      </c>
      <c r="M4" s="39">
        <v>380</v>
      </c>
      <c r="N4" s="39">
        <v>191.165572145271</v>
      </c>
      <c r="O4" s="39">
        <v>888.75094169852605</v>
      </c>
    </row>
    <row r="5" spans="1:15" x14ac:dyDescent="0.35">
      <c r="A5" t="s">
        <v>338</v>
      </c>
      <c r="B5" s="39">
        <v>13.9154999999999</v>
      </c>
      <c r="C5" s="39">
        <v>34.375799999999998</v>
      </c>
      <c r="D5" s="39">
        <v>5543.7160997315004</v>
      </c>
      <c r="E5" s="43">
        <v>80.065648466813897</v>
      </c>
      <c r="F5" s="43">
        <v>19.934351533186</v>
      </c>
      <c r="G5" s="39">
        <v>59.519487546471602</v>
      </c>
      <c r="H5" s="39">
        <v>398.38425494818699</v>
      </c>
      <c r="I5" s="39">
        <v>152.053923900565</v>
      </c>
      <c r="J5" s="39">
        <v>1.72024009119107</v>
      </c>
      <c r="K5" s="39">
        <v>92.479017820819905</v>
      </c>
      <c r="L5" s="39">
        <v>365.42400000000902</v>
      </c>
      <c r="M5" s="39">
        <v>550.93057780175502</v>
      </c>
      <c r="N5" s="39">
        <v>249.638268995592</v>
      </c>
      <c r="O5" s="39">
        <v>378.758529306892</v>
      </c>
    </row>
    <row r="6" spans="1:15" x14ac:dyDescent="0.35">
      <c r="A6" t="s">
        <v>339</v>
      </c>
      <c r="B6" s="39">
        <v>17.426099999999899</v>
      </c>
      <c r="C6" s="39">
        <v>35.5613999999999</v>
      </c>
      <c r="D6" s="39">
        <v>4906.19599533768</v>
      </c>
      <c r="E6" s="43">
        <v>92.521378822391</v>
      </c>
      <c r="F6" s="43">
        <v>7.4786211776089004</v>
      </c>
      <c r="G6" s="39">
        <v>50.997148593699897</v>
      </c>
      <c r="H6" s="39">
        <v>281.54297262942799</v>
      </c>
      <c r="I6" s="39">
        <v>181.55962157513</v>
      </c>
      <c r="J6" s="39">
        <v>1.8051961357017701</v>
      </c>
      <c r="K6" s="39">
        <v>40.462565680892702</v>
      </c>
      <c r="L6" s="39">
        <v>449.230642359429</v>
      </c>
      <c r="M6" s="39">
        <v>449.23058992601699</v>
      </c>
      <c r="N6" s="39">
        <v>237.985475674605</v>
      </c>
      <c r="O6" s="39">
        <v>365.631748954491</v>
      </c>
    </row>
    <row r="7" spans="1:15" x14ac:dyDescent="0.35">
      <c r="A7" t="s">
        <v>340</v>
      </c>
      <c r="B7" s="39">
        <v>13.901399999999899</v>
      </c>
      <c r="C7" s="39">
        <v>35.1296999999999</v>
      </c>
      <c r="D7" s="39">
        <v>5116.7645288571402</v>
      </c>
      <c r="E7" s="43">
        <v>88.449223464678397</v>
      </c>
      <c r="F7" s="43">
        <v>11.5507765353215</v>
      </c>
      <c r="G7" s="39">
        <v>60.428355494069102</v>
      </c>
      <c r="H7" s="39">
        <v>368.07548368201401</v>
      </c>
      <c r="I7" s="39">
        <v>226.38008282417701</v>
      </c>
      <c r="J7" s="39">
        <v>1.79723575121542</v>
      </c>
      <c r="K7" s="39">
        <v>49.933012903820398</v>
      </c>
      <c r="L7" s="39">
        <v>440.46225884807302</v>
      </c>
      <c r="M7" s="39">
        <v>446.94330184715801</v>
      </c>
      <c r="N7" s="39">
        <v>241.67969486450099</v>
      </c>
      <c r="O7" s="39">
        <v>403.04287635274397</v>
      </c>
    </row>
    <row r="8" spans="1:15" x14ac:dyDescent="0.35">
      <c r="A8" t="s">
        <v>341</v>
      </c>
      <c r="B8" s="39">
        <v>17.423970000000001</v>
      </c>
      <c r="C8" s="39">
        <v>34.933799999999998</v>
      </c>
      <c r="D8" s="39">
        <v>4982.5328303178803</v>
      </c>
      <c r="E8" s="43">
        <v>91.100790461876002</v>
      </c>
      <c r="F8" s="43">
        <v>8.8992095381239604</v>
      </c>
      <c r="G8" s="39">
        <v>50.122889579719299</v>
      </c>
      <c r="H8" s="39">
        <v>285.95852898724502</v>
      </c>
      <c r="I8" s="39">
        <v>180.678817826043</v>
      </c>
      <c r="J8" s="39">
        <v>1.8082306269633599</v>
      </c>
      <c r="K8" s="39">
        <v>48.508788077877199</v>
      </c>
      <c r="L8" s="39">
        <v>446.40173905670702</v>
      </c>
      <c r="M8" s="39">
        <f>446.401730844135/0.85</f>
        <v>525.17850687545297</v>
      </c>
      <c r="N8" s="39">
        <v>242.30898074750101</v>
      </c>
      <c r="O8" s="39">
        <v>372.24408066340197</v>
      </c>
    </row>
    <row r="9" spans="1:15" x14ac:dyDescent="0.35">
      <c r="A9" t="s">
        <v>342</v>
      </c>
      <c r="B9" s="39">
        <v>17.435399999999898</v>
      </c>
      <c r="C9" s="39">
        <v>36.275700000000001</v>
      </c>
      <c r="D9" s="39">
        <v>4930.8168165097504</v>
      </c>
      <c r="E9" s="43">
        <v>87.999087592951796</v>
      </c>
      <c r="F9" s="43">
        <v>12.0009124070481</v>
      </c>
      <c r="G9" s="39">
        <v>51.9364202482653</v>
      </c>
      <c r="H9" s="39">
        <v>282.80491508710702</v>
      </c>
      <c r="I9" s="39">
        <v>158.76357680472699</v>
      </c>
      <c r="J9" s="39">
        <v>1.61836931311285</v>
      </c>
      <c r="K9" s="39">
        <v>66.964663737822804</v>
      </c>
      <c r="L9" s="39">
        <v>300.011108262275</v>
      </c>
      <c r="M9" s="39">
        <v>554.51231607895897</v>
      </c>
      <c r="N9" s="39">
        <v>239.277654629344</v>
      </c>
      <c r="O9" s="39">
        <v>358.891440425577</v>
      </c>
    </row>
    <row r="10" spans="1:15" x14ac:dyDescent="0.35">
      <c r="A10" t="s">
        <v>343</v>
      </c>
      <c r="B10" s="39">
        <v>20.386499999999899</v>
      </c>
      <c r="C10" s="39">
        <v>34.375799999999998</v>
      </c>
      <c r="D10" s="39">
        <v>4678.5372741064002</v>
      </c>
      <c r="E10" s="43">
        <v>94.871793989435801</v>
      </c>
      <c r="F10" s="43">
        <v>5.1282060105641696</v>
      </c>
      <c r="G10" s="39">
        <v>40.695198366292502</v>
      </c>
      <c r="H10" s="39">
        <v>229.49193211715601</v>
      </c>
      <c r="I10" s="39">
        <v>238.35030203168199</v>
      </c>
      <c r="J10" s="39">
        <v>1.72024009119107</v>
      </c>
      <c r="K10" s="39">
        <v>29.1128166081491</v>
      </c>
      <c r="L10" s="39">
        <v>365.42400000000902</v>
      </c>
      <c r="M10" s="39">
        <v>380</v>
      </c>
      <c r="N10" s="39">
        <v>249.638268995592</v>
      </c>
      <c r="O10" s="39">
        <v>378.758529306892</v>
      </c>
    </row>
    <row r="11" spans="1:15" x14ac:dyDescent="0.35">
      <c r="A11" t="s">
        <v>344</v>
      </c>
      <c r="B11" s="39">
        <v>15.856199999999999</v>
      </c>
      <c r="C11" s="39">
        <v>34.372500000000002</v>
      </c>
      <c r="D11" s="39">
        <v>5368.9007036143303</v>
      </c>
      <c r="E11" s="43">
        <v>82.677246112296999</v>
      </c>
      <c r="F11" s="43">
        <v>17.322753887702898</v>
      </c>
      <c r="G11" s="39">
        <v>53.869517783111498</v>
      </c>
      <c r="H11" s="39">
        <v>338.599456592016</v>
      </c>
      <c r="I11" s="39">
        <v>192.05804641023099</v>
      </c>
      <c r="J11" s="39">
        <v>1.72051215120426</v>
      </c>
      <c r="K11" s="39">
        <v>62.4789898466069</v>
      </c>
      <c r="L11" s="39">
        <v>365.523000106327</v>
      </c>
      <c r="M11" s="39">
        <v>516.78164475548101</v>
      </c>
      <c r="N11" s="39">
        <v>186.372747922271</v>
      </c>
      <c r="O11" s="39">
        <v>370.31707508405202</v>
      </c>
    </row>
    <row r="12" spans="1:15" x14ac:dyDescent="0.35">
      <c r="A12" s="1" t="s">
        <v>319</v>
      </c>
    </row>
    <row r="13" spans="1:15" x14ac:dyDescent="0.35">
      <c r="A13" t="s">
        <v>300</v>
      </c>
      <c r="B13" t="s">
        <v>301</v>
      </c>
      <c r="C13" t="s">
        <v>302</v>
      </c>
      <c r="D13" t="s">
        <v>303</v>
      </c>
      <c r="E13" t="s">
        <v>304</v>
      </c>
      <c r="F13" t="s">
        <v>305</v>
      </c>
      <c r="G13" t="s">
        <v>306</v>
      </c>
      <c r="H13" t="s">
        <v>307</v>
      </c>
      <c r="I13" t="s">
        <v>308</v>
      </c>
      <c r="J13" t="s">
        <v>309</v>
      </c>
    </row>
    <row r="14" spans="1:15" x14ac:dyDescent="0.35">
      <c r="A14" t="s">
        <v>310</v>
      </c>
      <c r="B14" s="39">
        <v>17.966399999999901</v>
      </c>
      <c r="C14" s="39">
        <v>33.489600000000003</v>
      </c>
      <c r="D14" s="39">
        <v>46.352300415651399</v>
      </c>
      <c r="E14" s="39">
        <v>430.82194157246897</v>
      </c>
      <c r="F14" s="39">
        <v>228.100078616209</v>
      </c>
      <c r="G14" s="39">
        <v>0</v>
      </c>
      <c r="H14" s="39">
        <v>0</v>
      </c>
      <c r="I14" s="25">
        <v>374.03792033447797</v>
      </c>
      <c r="J14" s="25">
        <v>374.03792033447797</v>
      </c>
    </row>
    <row r="15" spans="1:15" x14ac:dyDescent="0.35">
      <c r="A15" t="s">
        <v>311</v>
      </c>
      <c r="B15" s="39">
        <v>17.960100000000001</v>
      </c>
      <c r="C15" s="39">
        <v>17.960100000000001</v>
      </c>
      <c r="D15" s="39">
        <v>0</v>
      </c>
      <c r="E15" s="39">
        <v>442.33431746567197</v>
      </c>
      <c r="F15" s="39">
        <v>178.918628673977</v>
      </c>
      <c r="G15" s="39">
        <v>0</v>
      </c>
      <c r="H15" s="39">
        <v>0</v>
      </c>
      <c r="I15" s="25">
        <v>399.63200010874601</v>
      </c>
      <c r="J15" s="25">
        <v>280</v>
      </c>
    </row>
    <row r="16" spans="1:15" x14ac:dyDescent="0.35">
      <c r="A16" t="s">
        <v>312</v>
      </c>
      <c r="B16" s="39">
        <v>13.610099999999999</v>
      </c>
      <c r="C16" s="39">
        <v>40.314300000000003</v>
      </c>
      <c r="D16" s="39">
        <v>66.2400190503121</v>
      </c>
      <c r="E16" s="39">
        <v>627.55817425282305</v>
      </c>
      <c r="F16" s="39">
        <v>-53.053790369233397</v>
      </c>
      <c r="G16" s="39">
        <v>0</v>
      </c>
      <c r="H16" s="39">
        <v>0</v>
      </c>
      <c r="I16" s="25">
        <v>314.31300044544201</v>
      </c>
      <c r="J16" s="25">
        <v>406.73277904036797</v>
      </c>
    </row>
    <row r="17" spans="1:10" x14ac:dyDescent="0.35">
      <c r="A17" t="s">
        <v>313</v>
      </c>
      <c r="B17" s="39">
        <v>17.973599999999902</v>
      </c>
      <c r="C17" s="39">
        <v>36.231900000000003</v>
      </c>
      <c r="D17" s="39">
        <v>50.3928858271302</v>
      </c>
      <c r="E17" s="39">
        <v>430.719187773366</v>
      </c>
      <c r="F17" s="39">
        <v>171.115638853039</v>
      </c>
      <c r="G17" s="39">
        <v>0</v>
      </c>
      <c r="H17" s="39">
        <v>0</v>
      </c>
      <c r="I17" s="25">
        <v>371.17812694976999</v>
      </c>
      <c r="J17" s="25">
        <v>371.17587335178098</v>
      </c>
    </row>
    <row r="18" spans="1:10" x14ac:dyDescent="0.35">
      <c r="A18" t="s">
        <v>314</v>
      </c>
      <c r="B18" s="39">
        <v>32.228099999999998</v>
      </c>
      <c r="C18" s="39">
        <v>40.314300000000003</v>
      </c>
      <c r="D18" s="39">
        <v>20.057895089335499</v>
      </c>
      <c r="E18" s="39">
        <v>212.53125250590099</v>
      </c>
      <c r="F18" s="39">
        <v>232.15059104063999</v>
      </c>
      <c r="G18" s="39">
        <v>0</v>
      </c>
      <c r="H18" s="39">
        <v>0</v>
      </c>
      <c r="I18" s="25">
        <v>314.31200044543402</v>
      </c>
      <c r="J18" s="25">
        <v>314.31163251486203</v>
      </c>
    </row>
    <row r="19" spans="1:10" x14ac:dyDescent="0.35">
      <c r="A19" t="s">
        <v>315</v>
      </c>
      <c r="B19" s="39">
        <v>17.962800000000001</v>
      </c>
      <c r="C19" s="39">
        <v>47.815199999999898</v>
      </c>
      <c r="D19" s="39">
        <v>62.432866536164099</v>
      </c>
      <c r="E19" s="39">
        <v>445.06428752932698</v>
      </c>
      <c r="F19" s="39">
        <v>-208.34730330861001</v>
      </c>
      <c r="G19" s="39">
        <v>0</v>
      </c>
      <c r="H19" s="39">
        <v>0</v>
      </c>
      <c r="I19" s="25">
        <v>250.000891850127</v>
      </c>
      <c r="J19" s="25">
        <v>479.63267273783998</v>
      </c>
    </row>
    <row r="20" spans="1:10" x14ac:dyDescent="0.35">
      <c r="A20" t="s">
        <v>316</v>
      </c>
      <c r="B20" s="39">
        <v>14.417639999999899</v>
      </c>
      <c r="C20" s="39">
        <v>35.592779999999998</v>
      </c>
      <c r="D20" s="39">
        <v>59.492796010876397</v>
      </c>
      <c r="E20" s="39">
        <v>572.56251761156398</v>
      </c>
      <c r="F20" s="39">
        <v>215.165949278482</v>
      </c>
      <c r="G20" s="39">
        <v>0</v>
      </c>
      <c r="H20" s="39">
        <v>0</v>
      </c>
      <c r="I20" s="25">
        <v>380.539721965448</v>
      </c>
      <c r="J20" s="25">
        <v>380.53917230083198</v>
      </c>
    </row>
    <row r="21" spans="1:10" x14ac:dyDescent="0.35">
      <c r="A21" t="s">
        <v>317</v>
      </c>
      <c r="B21" s="39">
        <v>16.201199999999901</v>
      </c>
      <c r="C21" s="39">
        <v>35.681100000000001</v>
      </c>
      <c r="D21" s="39">
        <v>54.594449162161503</v>
      </c>
      <c r="E21" s="39">
        <v>485.249623008605</v>
      </c>
      <c r="F21" s="39">
        <v>149.307918542609</v>
      </c>
      <c r="G21" s="39">
        <v>0</v>
      </c>
      <c r="H21" s="39">
        <v>0</v>
      </c>
      <c r="I21" s="25">
        <v>380.20620089503899</v>
      </c>
      <c r="J21" s="25">
        <v>380.20387931670399</v>
      </c>
    </row>
    <row r="22" spans="1:10" x14ac:dyDescent="0.35">
      <c r="A22" s="1" t="s">
        <v>320</v>
      </c>
    </row>
    <row r="23" spans="1:10" x14ac:dyDescent="0.35">
      <c r="A23" t="s">
        <v>300</v>
      </c>
      <c r="B23" t="s">
        <v>301</v>
      </c>
      <c r="C23" t="s">
        <v>302</v>
      </c>
      <c r="D23" t="s">
        <v>303</v>
      </c>
      <c r="E23" t="s">
        <v>304</v>
      </c>
      <c r="F23" t="s">
        <v>305</v>
      </c>
      <c r="G23" t="s">
        <v>306</v>
      </c>
      <c r="H23" t="s">
        <v>307</v>
      </c>
      <c r="I23" t="s">
        <v>308</v>
      </c>
      <c r="J23" t="s">
        <v>309</v>
      </c>
    </row>
    <row r="24" spans="1:10" x14ac:dyDescent="0.35">
      <c r="A24" t="s">
        <v>310</v>
      </c>
      <c r="B24" s="39">
        <v>17.965800000000002</v>
      </c>
      <c r="C24" s="39">
        <v>72.319500000000005</v>
      </c>
      <c r="D24" s="39">
        <v>75.157737539667707</v>
      </c>
      <c r="E24" s="39">
        <v>274.88685194803298</v>
      </c>
      <c r="F24" s="39">
        <v>128.43675926694701</v>
      </c>
      <c r="G24" s="39">
        <v>0</v>
      </c>
      <c r="H24" s="39">
        <v>0</v>
      </c>
      <c r="I24" s="25">
        <v>207.01270091438599</v>
      </c>
      <c r="J24" s="25">
        <v>207.01270091438599</v>
      </c>
    </row>
    <row r="25" spans="1:10" x14ac:dyDescent="0.35">
      <c r="A25" t="s">
        <v>311</v>
      </c>
      <c r="B25" s="39">
        <v>17.957100000000001</v>
      </c>
      <c r="C25" s="39">
        <v>17.957100000000001</v>
      </c>
      <c r="D25" s="39">
        <v>0</v>
      </c>
      <c r="E25" s="39">
        <v>346.06870844718998</v>
      </c>
      <c r="F25" s="39">
        <v>189.791853339402</v>
      </c>
      <c r="G25" s="39">
        <v>0</v>
      </c>
      <c r="H25" s="39">
        <v>0</v>
      </c>
      <c r="I25" s="25">
        <v>402.29200000039299</v>
      </c>
      <c r="J25" s="25">
        <v>150</v>
      </c>
    </row>
    <row r="26" spans="1:10" x14ac:dyDescent="0.35">
      <c r="A26" t="s">
        <v>312</v>
      </c>
      <c r="B26" s="39">
        <v>13.6151999999999</v>
      </c>
      <c r="C26" s="39">
        <v>40.331999999999901</v>
      </c>
      <c r="D26" s="39">
        <v>66.242189824457</v>
      </c>
      <c r="E26" s="39">
        <v>426.32133944138599</v>
      </c>
      <c r="F26" s="39">
        <v>398.14451972596402</v>
      </c>
      <c r="G26" s="39">
        <v>0</v>
      </c>
      <c r="H26" s="39">
        <v>0</v>
      </c>
      <c r="I26" s="25">
        <v>304.18800005289501</v>
      </c>
      <c r="J26" s="25">
        <v>176.672851827556</v>
      </c>
    </row>
    <row r="27" spans="1:10" x14ac:dyDescent="0.35">
      <c r="A27" t="s">
        <v>313</v>
      </c>
      <c r="B27" s="39">
        <v>17.959800000000001</v>
      </c>
      <c r="C27" s="39">
        <v>71.348399999999899</v>
      </c>
      <c r="D27" s="39">
        <v>74.828026977479396</v>
      </c>
      <c r="E27" s="39">
        <v>277.71156076020998</v>
      </c>
      <c r="F27" s="39">
        <v>151.03350856926201</v>
      </c>
      <c r="G27" s="39">
        <v>0</v>
      </c>
      <c r="H27" s="39">
        <v>0</v>
      </c>
      <c r="I27" s="25">
        <v>206.51056543729601</v>
      </c>
      <c r="J27" s="25">
        <v>206.51043470522799</v>
      </c>
    </row>
    <row r="28" spans="1:10" x14ac:dyDescent="0.35">
      <c r="A28" t="s">
        <v>314</v>
      </c>
      <c r="B28" s="39">
        <v>10.2035999999999</v>
      </c>
      <c r="C28" s="39">
        <v>40.331999999999901</v>
      </c>
      <c r="D28" s="39">
        <v>74.700981850639707</v>
      </c>
      <c r="E28" s="39">
        <v>608.80931135923504</v>
      </c>
      <c r="F28" s="39">
        <v>462.05353936763697</v>
      </c>
      <c r="G28" s="39">
        <v>0</v>
      </c>
      <c r="H28" s="39">
        <v>0</v>
      </c>
      <c r="I28" s="25">
        <v>304.18800005289501</v>
      </c>
      <c r="J28" s="25">
        <v>204.99234385732501</v>
      </c>
    </row>
    <row r="29" spans="1:10" x14ac:dyDescent="0.35">
      <c r="A29" t="s">
        <v>315</v>
      </c>
      <c r="B29" s="39">
        <v>17.962199999999999</v>
      </c>
      <c r="C29" s="39">
        <v>55.360199999999999</v>
      </c>
      <c r="D29" s="39">
        <v>67.553946698169398</v>
      </c>
      <c r="E29" s="39">
        <v>285.424439325766</v>
      </c>
      <c r="F29" s="39">
        <v>299.22928951143598</v>
      </c>
      <c r="G29" s="39">
        <v>0</v>
      </c>
      <c r="H29" s="39">
        <v>0</v>
      </c>
      <c r="I29" s="25">
        <v>250.00024543356901</v>
      </c>
      <c r="J29" s="25">
        <v>192.191911045642</v>
      </c>
    </row>
    <row r="30" spans="1:10" x14ac:dyDescent="0.35">
      <c r="A30" t="s">
        <v>316</v>
      </c>
      <c r="B30" s="39">
        <v>10.99605</v>
      </c>
      <c r="C30" s="39">
        <v>69.727319999999906</v>
      </c>
      <c r="D30" s="39">
        <v>84.229925945812894</v>
      </c>
      <c r="E30" s="39">
        <v>494.45604889754901</v>
      </c>
      <c r="F30" s="39">
        <v>251.70876013815101</v>
      </c>
      <c r="G30" s="39">
        <v>0</v>
      </c>
      <c r="H30" s="39">
        <v>0</v>
      </c>
      <c r="I30" s="25">
        <v>210.66156696950799</v>
      </c>
      <c r="J30" s="25">
        <v>210.66128024275699</v>
      </c>
    </row>
    <row r="31" spans="1:10" x14ac:dyDescent="0.35">
      <c r="A31" t="s">
        <v>317</v>
      </c>
      <c r="B31" s="39">
        <v>12.764699999999999</v>
      </c>
      <c r="C31" s="39">
        <v>70.016399999999905</v>
      </c>
      <c r="D31" s="39">
        <v>81.768985551956305</v>
      </c>
      <c r="E31" s="39">
        <v>408.96017343677602</v>
      </c>
      <c r="F31" s="39">
        <v>129.166417747032</v>
      </c>
      <c r="G31" s="39">
        <v>0</v>
      </c>
      <c r="H31" s="39">
        <v>0</v>
      </c>
      <c r="I31" s="25">
        <v>210.62320802647201</v>
      </c>
      <c r="J31" s="25">
        <v>210.62227127822101</v>
      </c>
    </row>
    <row r="32" spans="1:10" x14ac:dyDescent="0.35">
      <c r="A32" s="1" t="s">
        <v>321</v>
      </c>
    </row>
    <row r="33" spans="1:10" x14ac:dyDescent="0.35">
      <c r="A33" t="s">
        <v>300</v>
      </c>
      <c r="B33" t="s">
        <v>301</v>
      </c>
      <c r="C33" t="s">
        <v>302</v>
      </c>
      <c r="D33" t="s">
        <v>303</v>
      </c>
      <c r="E33" t="s">
        <v>304</v>
      </c>
      <c r="F33" t="s">
        <v>305</v>
      </c>
      <c r="G33" t="s">
        <v>306</v>
      </c>
      <c r="H33" t="s">
        <v>307</v>
      </c>
      <c r="I33" t="s">
        <v>308</v>
      </c>
      <c r="J33" t="s">
        <v>309</v>
      </c>
    </row>
    <row r="34" spans="1:10" x14ac:dyDescent="0.35">
      <c r="A34" s="17" t="s">
        <v>310</v>
      </c>
      <c r="B34" s="39">
        <v>17.965199999999999</v>
      </c>
      <c r="C34" s="39">
        <v>114.16889999999999</v>
      </c>
      <c r="D34" s="39">
        <v>84.264366215317807</v>
      </c>
      <c r="E34" s="39">
        <v>556.79799674601497</v>
      </c>
      <c r="F34" s="39">
        <v>143.22786811466801</v>
      </c>
      <c r="G34" s="39">
        <v>0</v>
      </c>
      <c r="H34" s="39">
        <v>0</v>
      </c>
      <c r="I34" s="25">
        <v>241.99275751295801</v>
      </c>
      <c r="J34" s="25">
        <v>241.99275751295801</v>
      </c>
    </row>
    <row r="35" spans="1:10" x14ac:dyDescent="0.35">
      <c r="A35" t="s">
        <v>311</v>
      </c>
      <c r="B35" s="39">
        <v>17.959800000000001</v>
      </c>
      <c r="C35" s="39">
        <v>17.959800000000001</v>
      </c>
      <c r="D35" s="39">
        <v>0</v>
      </c>
      <c r="E35" s="39">
        <v>703.16171726952098</v>
      </c>
      <c r="F35" s="39">
        <v>280.79896343514298</v>
      </c>
      <c r="G35" s="39">
        <v>0</v>
      </c>
      <c r="H35" s="39">
        <v>0</v>
      </c>
      <c r="I35" s="25">
        <v>378.99500005053898</v>
      </c>
      <c r="J35" s="25">
        <v>150</v>
      </c>
    </row>
    <row r="36" spans="1:10" x14ac:dyDescent="0.35">
      <c r="A36" t="s">
        <v>312</v>
      </c>
      <c r="B36" s="39">
        <v>13.6083</v>
      </c>
      <c r="C36" s="39">
        <v>40.316999999999901</v>
      </c>
      <c r="D36" s="39">
        <v>66.246744549445594</v>
      </c>
      <c r="E36" s="39">
        <v>895.08582649233904</v>
      </c>
      <c r="F36" s="39">
        <v>581.21682119402897</v>
      </c>
      <c r="G36" s="39">
        <v>0</v>
      </c>
      <c r="H36" s="39">
        <v>0</v>
      </c>
      <c r="I36" s="25">
        <v>339.995000113956</v>
      </c>
      <c r="J36" s="25">
        <v>176.67299999999699</v>
      </c>
    </row>
    <row r="37" spans="1:10" x14ac:dyDescent="0.35">
      <c r="A37" t="s">
        <v>313</v>
      </c>
      <c r="B37" s="39">
        <v>17.9742</v>
      </c>
      <c r="C37" s="39">
        <v>113.455799999999</v>
      </c>
      <c r="D37" s="39">
        <v>84.157530950378899</v>
      </c>
      <c r="E37" s="39">
        <v>564.28273830376804</v>
      </c>
      <c r="F37" s="39">
        <v>202.343530107036</v>
      </c>
      <c r="G37" s="39">
        <v>0</v>
      </c>
      <c r="H37" s="39">
        <v>0</v>
      </c>
      <c r="I37" s="25">
        <v>241.594495894852</v>
      </c>
      <c r="J37" s="25">
        <v>241.59550531551301</v>
      </c>
    </row>
    <row r="38" spans="1:10" x14ac:dyDescent="0.35">
      <c r="A38" t="s">
        <v>314</v>
      </c>
      <c r="B38" s="39">
        <v>0.42420000000000202</v>
      </c>
      <c r="C38" s="39">
        <v>40.316999999999901</v>
      </c>
      <c r="D38" s="39">
        <v>98.947838380831897</v>
      </c>
      <c r="E38" s="39">
        <v>33563.156257362301</v>
      </c>
      <c r="F38" s="39">
        <v>11535.104316799499</v>
      </c>
      <c r="G38" s="39">
        <v>0</v>
      </c>
      <c r="H38" s="39">
        <v>0</v>
      </c>
      <c r="I38" s="25">
        <v>339.995000113956</v>
      </c>
      <c r="J38" s="25">
        <v>240.991319386849</v>
      </c>
    </row>
    <row r="39" spans="1:10" x14ac:dyDescent="0.35">
      <c r="A39" t="s">
        <v>315</v>
      </c>
      <c r="B39" s="39">
        <v>17.964600000000001</v>
      </c>
      <c r="C39" s="39">
        <v>100.490099999999</v>
      </c>
      <c r="D39" s="39">
        <v>82.123015102980204</v>
      </c>
      <c r="E39" s="39">
        <v>578.13077375370904</v>
      </c>
      <c r="F39" s="39">
        <v>330.75128150422103</v>
      </c>
      <c r="G39" s="39">
        <v>0</v>
      </c>
      <c r="H39" s="39">
        <v>0</v>
      </c>
      <c r="I39" s="25">
        <v>250.00290407764399</v>
      </c>
      <c r="J39" s="25">
        <v>235.991911085737</v>
      </c>
    </row>
    <row r="40" spans="1:10" x14ac:dyDescent="0.35">
      <c r="A40" t="s">
        <v>316</v>
      </c>
      <c r="B40" s="39">
        <v>7.0725899999999999</v>
      </c>
      <c r="C40" s="39">
        <v>109.08906</v>
      </c>
      <c r="D40" s="39">
        <v>93.516682607770093</v>
      </c>
      <c r="E40" s="39">
        <v>1552.2856888441399</v>
      </c>
      <c r="F40" s="39">
        <v>531.83183990862301</v>
      </c>
      <c r="G40" s="39">
        <v>0</v>
      </c>
      <c r="H40" s="39">
        <v>0</v>
      </c>
      <c r="I40" s="25">
        <v>246.91411318107299</v>
      </c>
      <c r="J40" s="25">
        <v>246.91381903228299</v>
      </c>
    </row>
    <row r="41" spans="1:10" x14ac:dyDescent="0.35">
      <c r="A41" t="s">
        <v>317</v>
      </c>
      <c r="B41" s="39">
        <v>8.7866999999999802</v>
      </c>
      <c r="C41" s="39">
        <v>109.7715</v>
      </c>
      <c r="D41" s="39">
        <v>91.995463303316399</v>
      </c>
      <c r="E41" s="39">
        <v>1219.3124605369201</v>
      </c>
      <c r="F41" s="39">
        <v>168.014299650189</v>
      </c>
      <c r="G41" s="39">
        <v>0</v>
      </c>
      <c r="H41" s="39">
        <v>0</v>
      </c>
      <c r="I41" s="25">
        <v>246.87560126669101</v>
      </c>
      <c r="J41" s="25">
        <v>246.87804006392301</v>
      </c>
    </row>
    <row r="47" spans="1:10" x14ac:dyDescent="0.35">
      <c r="A47" t="s">
        <v>325</v>
      </c>
    </row>
    <row r="48" spans="1:10" x14ac:dyDescent="0.35">
      <c r="A48" t="s">
        <v>326</v>
      </c>
    </row>
    <row r="49" spans="1:1" x14ac:dyDescent="0.35">
      <c r="A49" t="s">
        <v>327</v>
      </c>
    </row>
    <row r="50" spans="1:1" x14ac:dyDescent="0.35">
      <c r="A50" t="s">
        <v>328</v>
      </c>
    </row>
    <row r="51" spans="1:1" x14ac:dyDescent="0.35">
      <c r="A51" t="s">
        <v>329</v>
      </c>
    </row>
    <row r="52" spans="1:1" x14ac:dyDescent="0.35">
      <c r="A52" t="s">
        <v>330</v>
      </c>
    </row>
    <row r="53" spans="1:1" x14ac:dyDescent="0.35">
      <c r="A53" t="s">
        <v>331</v>
      </c>
    </row>
    <row r="54" spans="1:1" x14ac:dyDescent="0.35">
      <c r="A54" t="s">
        <v>332</v>
      </c>
    </row>
    <row r="55" spans="1:1" x14ac:dyDescent="0.35">
      <c r="A55" t="s">
        <v>333</v>
      </c>
    </row>
    <row r="56" spans="1:1" x14ac:dyDescent="0.35">
      <c r="A56" t="s">
        <v>334</v>
      </c>
    </row>
  </sheetData>
  <conditionalFormatting sqref="B4:B11">
    <cfRule type="colorScale" priority="52">
      <colorScale>
        <cfvo type="min"/>
        <cfvo type="percentile" val="50"/>
        <cfvo type="max"/>
        <color rgb="FF63BE7B"/>
        <color rgb="FFFFEB84"/>
        <color rgb="FFF8696B"/>
      </colorScale>
    </cfRule>
  </conditionalFormatting>
  <conditionalFormatting sqref="C4:C11">
    <cfRule type="colorScale" priority="51">
      <colorScale>
        <cfvo type="min"/>
        <cfvo type="percentile" val="50"/>
        <cfvo type="max"/>
        <color rgb="FF63BE7B"/>
        <color rgb="FFFFEB84"/>
        <color rgb="FFF8696B"/>
      </colorScale>
    </cfRule>
  </conditionalFormatting>
  <conditionalFormatting sqref="D4:D11">
    <cfRule type="colorScale" priority="50">
      <colorScale>
        <cfvo type="min"/>
        <cfvo type="percentile" val="50"/>
        <cfvo type="max"/>
        <color rgb="FF63BE7B"/>
        <color rgb="FFFFEB84"/>
        <color rgb="FFF8696B"/>
      </colorScale>
    </cfRule>
  </conditionalFormatting>
  <conditionalFormatting sqref="G4:G11">
    <cfRule type="colorScale" priority="47">
      <colorScale>
        <cfvo type="min"/>
        <cfvo type="percentile" val="50"/>
        <cfvo type="max"/>
        <color rgb="FFF8696B"/>
        <color rgb="FFFFEB84"/>
        <color rgb="FF63BE7B"/>
      </colorScale>
    </cfRule>
  </conditionalFormatting>
  <conditionalFormatting sqref="H4:H11">
    <cfRule type="colorScale" priority="3">
      <colorScale>
        <cfvo type="min"/>
        <cfvo type="percentile" val="50"/>
        <cfvo type="max"/>
        <color rgb="FF63BE7B"/>
        <color rgb="FFFFEB84"/>
        <color rgb="FFF8696B"/>
      </colorScale>
    </cfRule>
  </conditionalFormatting>
  <conditionalFormatting sqref="I4:I11">
    <cfRule type="colorScale" priority="45">
      <colorScale>
        <cfvo type="min"/>
        <cfvo type="percentile" val="50"/>
        <cfvo type="max"/>
        <color rgb="FF63BE7B"/>
        <color rgb="FFFFEB84"/>
        <color rgb="FFF8696B"/>
      </colorScale>
    </cfRule>
  </conditionalFormatting>
  <conditionalFormatting sqref="J4:J11">
    <cfRule type="colorScale" priority="44">
      <colorScale>
        <cfvo type="min"/>
        <cfvo type="percentile" val="50"/>
        <cfvo type="max"/>
        <color rgb="FF63BE7B"/>
        <color rgb="FFFFEB84"/>
        <color rgb="FFF8696B"/>
      </colorScale>
    </cfRule>
  </conditionalFormatting>
  <conditionalFormatting sqref="B14:B21">
    <cfRule type="colorScale" priority="43">
      <colorScale>
        <cfvo type="min"/>
        <cfvo type="percentile" val="50"/>
        <cfvo type="max"/>
        <color rgb="FF63BE7B"/>
        <color rgb="FFFFEB84"/>
        <color rgb="FFF8696B"/>
      </colorScale>
    </cfRule>
  </conditionalFormatting>
  <conditionalFormatting sqref="C14:C21">
    <cfRule type="colorScale" priority="42">
      <colorScale>
        <cfvo type="min"/>
        <cfvo type="percentile" val="50"/>
        <cfvo type="max"/>
        <color rgb="FF63BE7B"/>
        <color rgb="FFFFEB84"/>
        <color rgb="FFF8696B"/>
      </colorScale>
    </cfRule>
  </conditionalFormatting>
  <conditionalFormatting sqref="D14:D21">
    <cfRule type="colorScale" priority="41">
      <colorScale>
        <cfvo type="min"/>
        <cfvo type="percentile" val="50"/>
        <cfvo type="max"/>
        <color rgb="FF63BE7B"/>
        <color rgb="FFFFEB84"/>
        <color rgb="FFF8696B"/>
      </colorScale>
    </cfRule>
  </conditionalFormatting>
  <conditionalFormatting sqref="E14:E21">
    <cfRule type="colorScale" priority="40">
      <colorScale>
        <cfvo type="min"/>
        <cfvo type="percentile" val="50"/>
        <cfvo type="max"/>
        <color rgb="FF63BE7B"/>
        <color rgb="FFFFEB84"/>
        <color rgb="FFF8696B"/>
      </colorScale>
    </cfRule>
  </conditionalFormatting>
  <conditionalFormatting sqref="F14:F21">
    <cfRule type="colorScale" priority="39">
      <colorScale>
        <cfvo type="min"/>
        <cfvo type="percentile" val="50"/>
        <cfvo type="max"/>
        <color rgb="FFF8696B"/>
        <color rgb="FFFFEB84"/>
        <color rgb="FF63BE7B"/>
      </colorScale>
    </cfRule>
  </conditionalFormatting>
  <conditionalFormatting sqref="G14:G21">
    <cfRule type="colorScale" priority="38">
      <colorScale>
        <cfvo type="min"/>
        <cfvo type="percentile" val="50"/>
        <cfvo type="max"/>
        <color rgb="FFF8696B"/>
        <color rgb="FFFFEB84"/>
        <color rgb="FF63BE7B"/>
      </colorScale>
    </cfRule>
  </conditionalFormatting>
  <conditionalFormatting sqref="H14:H21">
    <cfRule type="colorScale" priority="37">
      <colorScale>
        <cfvo type="min"/>
        <cfvo type="percentile" val="50"/>
        <cfvo type="max"/>
        <color rgb="FFF8696B"/>
        <color rgb="FFFFEB84"/>
        <color rgb="FF63BE7B"/>
      </colorScale>
    </cfRule>
  </conditionalFormatting>
  <conditionalFormatting sqref="I14:I21">
    <cfRule type="colorScale" priority="36">
      <colorScale>
        <cfvo type="min"/>
        <cfvo type="percentile" val="50"/>
        <cfvo type="max"/>
        <color rgb="FF63BE7B"/>
        <color rgb="FFFFEB84"/>
        <color rgb="FFF8696B"/>
      </colorScale>
    </cfRule>
  </conditionalFormatting>
  <conditionalFormatting sqref="J14:J21">
    <cfRule type="colorScale" priority="35">
      <colorScale>
        <cfvo type="min"/>
        <cfvo type="percentile" val="50"/>
        <cfvo type="max"/>
        <color rgb="FF63BE7B"/>
        <color rgb="FFFFEB84"/>
        <color rgb="FFF8696B"/>
      </colorScale>
    </cfRule>
  </conditionalFormatting>
  <conditionalFormatting sqref="G14:H21">
    <cfRule type="colorScale" priority="34">
      <colorScale>
        <cfvo type="min"/>
        <cfvo type="percentile" val="50"/>
        <cfvo type="max"/>
        <color rgb="FF63BE7B"/>
        <color rgb="FFFFEB84"/>
        <color rgb="FFF8696B"/>
      </colorScale>
    </cfRule>
  </conditionalFormatting>
  <conditionalFormatting sqref="B24:B31">
    <cfRule type="colorScale" priority="33">
      <colorScale>
        <cfvo type="min"/>
        <cfvo type="percentile" val="50"/>
        <cfvo type="max"/>
        <color rgb="FF63BE7B"/>
        <color rgb="FFFFEB84"/>
        <color rgb="FFF8696B"/>
      </colorScale>
    </cfRule>
  </conditionalFormatting>
  <conditionalFormatting sqref="C24:C31">
    <cfRule type="colorScale" priority="32">
      <colorScale>
        <cfvo type="min"/>
        <cfvo type="percentile" val="50"/>
        <cfvo type="max"/>
        <color rgb="FF63BE7B"/>
        <color rgb="FFFFEB84"/>
        <color rgb="FFF8696B"/>
      </colorScale>
    </cfRule>
  </conditionalFormatting>
  <conditionalFormatting sqref="D24:D31">
    <cfRule type="colorScale" priority="31">
      <colorScale>
        <cfvo type="min"/>
        <cfvo type="percentile" val="50"/>
        <cfvo type="max"/>
        <color rgb="FF63BE7B"/>
        <color rgb="FFFFEB84"/>
        <color rgb="FFF8696B"/>
      </colorScale>
    </cfRule>
  </conditionalFormatting>
  <conditionalFormatting sqref="E24:E31">
    <cfRule type="colorScale" priority="30">
      <colorScale>
        <cfvo type="min"/>
        <cfvo type="percentile" val="50"/>
        <cfvo type="max"/>
        <color rgb="FF63BE7B"/>
        <color rgb="FFFFEB84"/>
        <color rgb="FFF8696B"/>
      </colorScale>
    </cfRule>
  </conditionalFormatting>
  <conditionalFormatting sqref="F24:F31">
    <cfRule type="colorScale" priority="29">
      <colorScale>
        <cfvo type="min"/>
        <cfvo type="percentile" val="50"/>
        <cfvo type="max"/>
        <color rgb="FFF8696B"/>
        <color rgb="FFFFEB84"/>
        <color rgb="FF63BE7B"/>
      </colorScale>
    </cfRule>
  </conditionalFormatting>
  <conditionalFormatting sqref="G24:G31">
    <cfRule type="colorScale" priority="28">
      <colorScale>
        <cfvo type="min"/>
        <cfvo type="percentile" val="50"/>
        <cfvo type="max"/>
        <color rgb="FFF8696B"/>
        <color rgb="FFFFEB84"/>
        <color rgb="FF63BE7B"/>
      </colorScale>
    </cfRule>
  </conditionalFormatting>
  <conditionalFormatting sqref="H24:H31">
    <cfRule type="colorScale" priority="27">
      <colorScale>
        <cfvo type="min"/>
        <cfvo type="percentile" val="50"/>
        <cfvo type="max"/>
        <color rgb="FFF8696B"/>
        <color rgb="FFFFEB84"/>
        <color rgb="FF63BE7B"/>
      </colorScale>
    </cfRule>
  </conditionalFormatting>
  <conditionalFormatting sqref="I24:I31">
    <cfRule type="colorScale" priority="26">
      <colorScale>
        <cfvo type="min"/>
        <cfvo type="percentile" val="50"/>
        <cfvo type="max"/>
        <color rgb="FF63BE7B"/>
        <color rgb="FFFFEB84"/>
        <color rgb="FFF8696B"/>
      </colorScale>
    </cfRule>
  </conditionalFormatting>
  <conditionalFormatting sqref="J24:J31">
    <cfRule type="colorScale" priority="25">
      <colorScale>
        <cfvo type="min"/>
        <cfvo type="percentile" val="50"/>
        <cfvo type="max"/>
        <color rgb="FF63BE7B"/>
        <color rgb="FFFFEB84"/>
        <color rgb="FFF8696B"/>
      </colorScale>
    </cfRule>
  </conditionalFormatting>
  <conditionalFormatting sqref="G24:H31">
    <cfRule type="colorScale" priority="24">
      <colorScale>
        <cfvo type="min"/>
        <cfvo type="percentile" val="50"/>
        <cfvo type="max"/>
        <color rgb="FF63BE7B"/>
        <color rgb="FFFFEB84"/>
        <color rgb="FFF8696B"/>
      </colorScale>
    </cfRule>
  </conditionalFormatting>
  <conditionalFormatting sqref="B34:B41">
    <cfRule type="colorScale" priority="23">
      <colorScale>
        <cfvo type="min"/>
        <cfvo type="percentile" val="50"/>
        <cfvo type="max"/>
        <color rgb="FF63BE7B"/>
        <color rgb="FFFFEB84"/>
        <color rgb="FFF8696B"/>
      </colorScale>
    </cfRule>
  </conditionalFormatting>
  <conditionalFormatting sqref="C34:C41">
    <cfRule type="colorScale" priority="22">
      <colorScale>
        <cfvo type="min"/>
        <cfvo type="percentile" val="50"/>
        <cfvo type="max"/>
        <color rgb="FF63BE7B"/>
        <color rgb="FFFFEB84"/>
        <color rgb="FFF8696B"/>
      </colorScale>
    </cfRule>
  </conditionalFormatting>
  <conditionalFormatting sqref="D34:D41">
    <cfRule type="colorScale" priority="21">
      <colorScale>
        <cfvo type="min"/>
        <cfvo type="percentile" val="50"/>
        <cfvo type="max"/>
        <color rgb="FF63BE7B"/>
        <color rgb="FFFFEB84"/>
        <color rgb="FFF8696B"/>
      </colorScale>
    </cfRule>
  </conditionalFormatting>
  <conditionalFormatting sqref="E34:E41">
    <cfRule type="colorScale" priority="20">
      <colorScale>
        <cfvo type="min"/>
        <cfvo type="percentile" val="50"/>
        <cfvo type="max"/>
        <color rgb="FF63BE7B"/>
        <color rgb="FFFFEB84"/>
        <color rgb="FFF8696B"/>
      </colorScale>
    </cfRule>
  </conditionalFormatting>
  <conditionalFormatting sqref="F34:F41">
    <cfRule type="colorScale" priority="19">
      <colorScale>
        <cfvo type="min"/>
        <cfvo type="percentile" val="50"/>
        <cfvo type="max"/>
        <color rgb="FFF8696B"/>
        <color rgb="FFFFEB84"/>
        <color rgb="FF63BE7B"/>
      </colorScale>
    </cfRule>
  </conditionalFormatting>
  <conditionalFormatting sqref="G34:G41">
    <cfRule type="colorScale" priority="18">
      <colorScale>
        <cfvo type="min"/>
        <cfvo type="percentile" val="50"/>
        <cfvo type="max"/>
        <color rgb="FFF8696B"/>
        <color rgb="FFFFEB84"/>
        <color rgb="FF63BE7B"/>
      </colorScale>
    </cfRule>
  </conditionalFormatting>
  <conditionalFormatting sqref="H34:H41">
    <cfRule type="colorScale" priority="17">
      <colorScale>
        <cfvo type="min"/>
        <cfvo type="percentile" val="50"/>
        <cfvo type="max"/>
        <color rgb="FFF8696B"/>
        <color rgb="FFFFEB84"/>
        <color rgb="FF63BE7B"/>
      </colorScale>
    </cfRule>
  </conditionalFormatting>
  <conditionalFormatting sqref="I34:I41">
    <cfRule type="colorScale" priority="16">
      <colorScale>
        <cfvo type="min"/>
        <cfvo type="percentile" val="50"/>
        <cfvo type="max"/>
        <color rgb="FF63BE7B"/>
        <color rgb="FFFFEB84"/>
        <color rgb="FFF8696B"/>
      </colorScale>
    </cfRule>
  </conditionalFormatting>
  <conditionalFormatting sqref="J34:J41">
    <cfRule type="colorScale" priority="15">
      <colorScale>
        <cfvo type="min"/>
        <cfvo type="percentile" val="50"/>
        <cfvo type="max"/>
        <color rgb="FF63BE7B"/>
        <color rgb="FFFFEB84"/>
        <color rgb="FFF8696B"/>
      </colorScale>
    </cfRule>
  </conditionalFormatting>
  <conditionalFormatting sqref="G34:H41">
    <cfRule type="colorScale" priority="14">
      <colorScale>
        <cfvo type="min"/>
        <cfvo type="percentile" val="50"/>
        <cfvo type="max"/>
        <color rgb="FF63BE7B"/>
        <color rgb="FFFFEB84"/>
        <color rgb="FFF8696B"/>
      </colorScale>
    </cfRule>
  </conditionalFormatting>
  <conditionalFormatting sqref="K4:K11">
    <cfRule type="colorScale" priority="12">
      <colorScale>
        <cfvo type="min"/>
        <cfvo type="percentile" val="50"/>
        <cfvo type="max"/>
        <color rgb="FF63BE7B"/>
        <color rgb="FFFFEB84"/>
        <color rgb="FFF8696B"/>
      </colorScale>
    </cfRule>
  </conditionalFormatting>
  <conditionalFormatting sqref="I4:I11">
    <cfRule type="colorScale" priority="9">
      <colorScale>
        <cfvo type="min"/>
        <cfvo type="percentile" val="50"/>
        <cfvo type="max"/>
        <color rgb="FF63BE7B"/>
        <color rgb="FFFFEB84"/>
        <color rgb="FFF8696B"/>
      </colorScale>
    </cfRule>
  </conditionalFormatting>
  <conditionalFormatting sqref="J4:J11">
    <cfRule type="colorScale" priority="8">
      <colorScale>
        <cfvo type="min"/>
        <cfvo type="percentile" val="50"/>
        <cfvo type="max"/>
        <color rgb="FF63BE7B"/>
        <color rgb="FFFFEB84"/>
        <color rgb="FFF8696B"/>
      </colorScale>
    </cfRule>
  </conditionalFormatting>
  <conditionalFormatting sqref="L4:L11">
    <cfRule type="colorScale" priority="7">
      <colorScale>
        <cfvo type="min"/>
        <cfvo type="percentile" val="50"/>
        <cfvo type="max"/>
        <color rgb="FF63BE7B"/>
        <color rgb="FFFFEB84"/>
        <color rgb="FFF8696B"/>
      </colorScale>
    </cfRule>
  </conditionalFormatting>
  <conditionalFormatting sqref="M4:M11">
    <cfRule type="colorScale" priority="6">
      <colorScale>
        <cfvo type="min"/>
        <cfvo type="percentile" val="50"/>
        <cfvo type="max"/>
        <color rgb="FF63BE7B"/>
        <color rgb="FFFFEB84"/>
        <color rgb="FFF8696B"/>
      </colorScale>
    </cfRule>
  </conditionalFormatting>
  <conditionalFormatting sqref="L4:L11">
    <cfRule type="colorScale" priority="5">
      <colorScale>
        <cfvo type="min"/>
        <cfvo type="percentile" val="50"/>
        <cfvo type="max"/>
        <color rgb="FF63BE7B"/>
        <color rgb="FFFFEB84"/>
        <color rgb="FFF8696B"/>
      </colorScale>
    </cfRule>
  </conditionalFormatting>
  <conditionalFormatting sqref="M4:M11">
    <cfRule type="colorScale" priority="4">
      <colorScale>
        <cfvo type="min"/>
        <cfvo type="percentile" val="50"/>
        <cfvo type="max"/>
        <color rgb="FF63BE7B"/>
        <color rgb="FFFFEB84"/>
        <color rgb="FFF8696B"/>
      </colorScale>
    </cfRule>
  </conditionalFormatting>
  <conditionalFormatting sqref="N4:N11">
    <cfRule type="colorScale" priority="2">
      <colorScale>
        <cfvo type="min"/>
        <cfvo type="percentile" val="50"/>
        <cfvo type="max"/>
        <color rgb="FF63BE7B"/>
        <color rgb="FFFFEB84"/>
        <color rgb="FFF8696B"/>
      </colorScale>
    </cfRule>
  </conditionalFormatting>
  <conditionalFormatting sqref="O4:O11">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5A95-4FFA-4692-8D6F-F73986008F47}">
  <dimension ref="A1:J40"/>
  <sheetViews>
    <sheetView zoomScale="85" zoomScaleNormal="85" workbookViewId="0">
      <selection sqref="A1:J40"/>
    </sheetView>
  </sheetViews>
  <sheetFormatPr defaultRowHeight="14.5" x14ac:dyDescent="0.35"/>
  <cols>
    <col min="1" max="1" width="47.08984375" bestFit="1" customWidth="1"/>
    <col min="2" max="2" width="18.08984375" bestFit="1" customWidth="1"/>
    <col min="3" max="3" width="14.26953125" bestFit="1" customWidth="1"/>
    <col min="4" max="4" width="16.26953125" bestFit="1" customWidth="1"/>
    <col min="5" max="5" width="17.90625" bestFit="1" customWidth="1"/>
    <col min="6" max="6" width="11.81640625" bestFit="1" customWidth="1"/>
    <col min="7" max="7" width="20.81640625" bestFit="1" customWidth="1"/>
    <col min="8" max="8" width="21.6328125" bestFit="1" customWidth="1"/>
    <col min="9" max="9" width="11.81640625" bestFit="1" customWidth="1"/>
    <col min="10" max="10" width="8.08984375" customWidth="1"/>
  </cols>
  <sheetData>
    <row r="1" spans="1:10" x14ac:dyDescent="0.35">
      <c r="A1" s="1" t="s">
        <v>318</v>
      </c>
    </row>
    <row r="2" spans="1:10" x14ac:dyDescent="0.35">
      <c r="A2" t="s">
        <v>300</v>
      </c>
      <c r="B2" t="s">
        <v>301</v>
      </c>
      <c r="C2" t="s">
        <v>302</v>
      </c>
      <c r="D2" t="s">
        <v>303</v>
      </c>
      <c r="E2" t="s">
        <v>304</v>
      </c>
      <c r="F2" t="s">
        <v>305</v>
      </c>
      <c r="G2" t="s">
        <v>306</v>
      </c>
      <c r="H2" t="s">
        <v>307</v>
      </c>
      <c r="I2" t="s">
        <v>308</v>
      </c>
      <c r="J2" t="s">
        <v>309</v>
      </c>
    </row>
    <row r="3" spans="1:10" x14ac:dyDescent="0.35">
      <c r="A3" t="s">
        <v>310</v>
      </c>
      <c r="B3" s="39">
        <v>17.417099999999898</v>
      </c>
      <c r="C3" s="39">
        <v>60</v>
      </c>
      <c r="D3" s="39">
        <v>70.971500000000006</v>
      </c>
      <c r="E3" s="39">
        <v>214.64239674647001</v>
      </c>
      <c r="F3" s="40">
        <v>-2643.9611098718301</v>
      </c>
      <c r="G3" s="39">
        <v>0.92407116665190003</v>
      </c>
      <c r="H3" s="39">
        <v>44.558900000000001</v>
      </c>
      <c r="I3" s="41">
        <v>2711.5769019481299</v>
      </c>
      <c r="J3" s="41">
        <v>2711.5769019481299</v>
      </c>
    </row>
    <row r="4" spans="1:10" x14ac:dyDescent="0.35">
      <c r="A4" t="s">
        <v>311</v>
      </c>
      <c r="B4" s="39">
        <v>17.426400000000001</v>
      </c>
      <c r="C4" s="39">
        <v>17.426400000000001</v>
      </c>
      <c r="D4" s="39">
        <v>0</v>
      </c>
      <c r="E4" s="39">
        <v>288.89576863831098</v>
      </c>
      <c r="F4" s="39">
        <v>180.296707484531</v>
      </c>
      <c r="G4" s="39">
        <v>1.63509888888918</v>
      </c>
      <c r="H4" s="39">
        <v>0</v>
      </c>
      <c r="I4" s="25">
        <v>399.997212848652</v>
      </c>
      <c r="J4" s="25">
        <v>380</v>
      </c>
    </row>
    <row r="5" spans="1:10" x14ac:dyDescent="0.35">
      <c r="A5" t="s">
        <v>312</v>
      </c>
      <c r="B5" s="39">
        <v>13.6199999999999</v>
      </c>
      <c r="C5" s="39">
        <v>40.322999999999901</v>
      </c>
      <c r="D5" s="39">
        <v>66.2227512833866</v>
      </c>
      <c r="E5" s="39">
        <v>415.20031955404897</v>
      </c>
      <c r="F5" s="39">
        <v>-39.4051763874253</v>
      </c>
      <c r="G5" s="39">
        <v>1.5429753366122301</v>
      </c>
      <c r="H5" s="39">
        <v>76.120699999999999</v>
      </c>
      <c r="I5" s="25">
        <v>291.981000000015</v>
      </c>
      <c r="J5" s="25">
        <v>592.58078514390604</v>
      </c>
    </row>
    <row r="6" spans="1:10" x14ac:dyDescent="0.35">
      <c r="A6" t="s">
        <v>313</v>
      </c>
      <c r="B6" s="39">
        <v>17.4255</v>
      </c>
      <c r="C6" s="39">
        <v>35.050800000000002</v>
      </c>
      <c r="D6" s="39">
        <v>50.285014892669999</v>
      </c>
      <c r="E6" s="39">
        <v>281.53892548870903</v>
      </c>
      <c r="F6" s="39">
        <v>179.62350089262699</v>
      </c>
      <c r="G6" s="39">
        <v>1.72029504844767</v>
      </c>
      <c r="H6" s="39">
        <v>32.202300000000001</v>
      </c>
      <c r="I6" s="25">
        <v>396.032732442157</v>
      </c>
      <c r="J6" s="25">
        <v>396.03273244216803</v>
      </c>
    </row>
    <row r="7" spans="1:10" x14ac:dyDescent="0.35">
      <c r="A7" t="s">
        <v>314</v>
      </c>
      <c r="B7" s="39">
        <v>31.857899999999901</v>
      </c>
      <c r="C7" s="39">
        <v>40.322999999999901</v>
      </c>
      <c r="D7" s="39">
        <v>20.993229670411399</v>
      </c>
      <c r="E7" s="39">
        <v>135.16980701906701</v>
      </c>
      <c r="F7" s="39">
        <v>213.777874174141</v>
      </c>
      <c r="G7" s="39">
        <v>1.5429753366122301</v>
      </c>
      <c r="H7" s="39">
        <v>11.251899999999999</v>
      </c>
      <c r="I7" s="25">
        <v>291.981000000015</v>
      </c>
      <c r="J7" s="25">
        <v>380</v>
      </c>
    </row>
    <row r="8" spans="1:10" x14ac:dyDescent="0.35">
      <c r="A8" t="s">
        <v>315</v>
      </c>
      <c r="B8" s="39">
        <v>17.421600000000002</v>
      </c>
      <c r="C8" s="39">
        <v>41.225699999999897</v>
      </c>
      <c r="D8" s="39">
        <v>57.740923744169201</v>
      </c>
      <c r="E8" s="39">
        <v>287.63923705425702</v>
      </c>
      <c r="F8" s="39">
        <v>29.740638990446701</v>
      </c>
      <c r="G8" s="39">
        <v>1.4608569920514001</v>
      </c>
      <c r="H8" s="39">
        <v>57.059100000000001</v>
      </c>
      <c r="I8" s="25">
        <v>250.007082948646</v>
      </c>
      <c r="J8" s="25">
        <v>623.87222210136599</v>
      </c>
    </row>
    <row r="9" spans="1:10" x14ac:dyDescent="0.35">
      <c r="A9" t="s">
        <v>316</v>
      </c>
      <c r="B9" s="39">
        <v>13.966799999999999</v>
      </c>
      <c r="C9" s="39">
        <v>34.800599999999903</v>
      </c>
      <c r="D9" s="39">
        <v>59.8662092032895</v>
      </c>
      <c r="E9" s="39">
        <v>365.96893227430098</v>
      </c>
      <c r="F9" s="39">
        <v>224.25919844187399</v>
      </c>
      <c r="G9" s="39">
        <v>1.72143560617609</v>
      </c>
      <c r="H9" s="39">
        <v>38.304900000000004</v>
      </c>
      <c r="I9" s="25">
        <v>393.94593982521201</v>
      </c>
      <c r="J9" s="25">
        <v>447.03764427286501</v>
      </c>
    </row>
    <row r="10" spans="1:10" x14ac:dyDescent="0.35">
      <c r="A10" t="s">
        <v>317</v>
      </c>
      <c r="B10" s="39">
        <v>14.8536</v>
      </c>
      <c r="C10" s="39">
        <v>34.627200000000002</v>
      </c>
      <c r="D10" s="39">
        <v>57.104199999999999</v>
      </c>
      <c r="E10" s="39">
        <v>334.17700000000002</v>
      </c>
      <c r="F10" s="39">
        <v>210.227</v>
      </c>
      <c r="G10" s="39">
        <v>1.7213099999999999</v>
      </c>
      <c r="H10" s="39">
        <v>35.238199999999999</v>
      </c>
      <c r="I10" s="25">
        <v>395.20800000000003</v>
      </c>
      <c r="J10" s="25">
        <v>395.209</v>
      </c>
    </row>
    <row r="11" spans="1:10" x14ac:dyDescent="0.35">
      <c r="A11" s="1" t="s">
        <v>319</v>
      </c>
    </row>
    <row r="12" spans="1:10" x14ac:dyDescent="0.35">
      <c r="A12" t="s">
        <v>300</v>
      </c>
      <c r="B12" t="s">
        <v>301</v>
      </c>
      <c r="C12" t="s">
        <v>302</v>
      </c>
      <c r="D12" t="s">
        <v>303</v>
      </c>
      <c r="E12" t="s">
        <v>304</v>
      </c>
      <c r="F12" t="s">
        <v>305</v>
      </c>
      <c r="G12" t="s">
        <v>306</v>
      </c>
      <c r="H12" t="s">
        <v>307</v>
      </c>
      <c r="I12" t="s">
        <v>308</v>
      </c>
      <c r="J12" t="s">
        <v>309</v>
      </c>
    </row>
    <row r="13" spans="1:10" x14ac:dyDescent="0.35">
      <c r="A13" t="s">
        <v>310</v>
      </c>
      <c r="B13" s="39">
        <v>17.966399999999901</v>
      </c>
      <c r="C13" s="39">
        <v>33.489600000000003</v>
      </c>
      <c r="D13" s="39">
        <v>46.352300415651399</v>
      </c>
      <c r="E13" s="39">
        <v>430.82194157246897</v>
      </c>
      <c r="F13" s="39">
        <v>228.100078616209</v>
      </c>
      <c r="G13" s="39">
        <v>0</v>
      </c>
      <c r="H13" s="39">
        <v>0</v>
      </c>
      <c r="I13" s="25">
        <v>374.03792033447797</v>
      </c>
      <c r="J13" s="25">
        <v>374.03792033447797</v>
      </c>
    </row>
    <row r="14" spans="1:10" x14ac:dyDescent="0.35">
      <c r="A14" t="s">
        <v>311</v>
      </c>
      <c r="B14" s="39">
        <v>17.960100000000001</v>
      </c>
      <c r="C14" s="39">
        <v>17.960100000000001</v>
      </c>
      <c r="D14" s="39">
        <v>0</v>
      </c>
      <c r="E14" s="39">
        <v>442.33431746567197</v>
      </c>
      <c r="F14" s="39">
        <v>178.918628673977</v>
      </c>
      <c r="G14" s="39">
        <v>0</v>
      </c>
      <c r="H14" s="39">
        <v>0</v>
      </c>
      <c r="I14" s="25">
        <v>399.63200010874601</v>
      </c>
      <c r="J14" s="25">
        <v>280</v>
      </c>
    </row>
    <row r="15" spans="1:10" x14ac:dyDescent="0.35">
      <c r="A15" t="s">
        <v>312</v>
      </c>
      <c r="B15" s="39">
        <v>13.610099999999999</v>
      </c>
      <c r="C15" s="39">
        <v>40.314300000000003</v>
      </c>
      <c r="D15" s="39">
        <v>66.2400190503121</v>
      </c>
      <c r="E15" s="39">
        <v>627.55817425282305</v>
      </c>
      <c r="F15" s="39">
        <v>-53.053790369233397</v>
      </c>
      <c r="G15" s="39">
        <v>0</v>
      </c>
      <c r="H15" s="39">
        <v>0</v>
      </c>
      <c r="I15" s="25">
        <v>314.31300044544201</v>
      </c>
      <c r="J15" s="25">
        <v>406.73277904036797</v>
      </c>
    </row>
    <row r="16" spans="1:10" x14ac:dyDescent="0.35">
      <c r="A16" t="s">
        <v>313</v>
      </c>
      <c r="B16" s="39">
        <v>17.973599999999902</v>
      </c>
      <c r="C16" s="39">
        <v>36.231900000000003</v>
      </c>
      <c r="D16" s="39">
        <v>50.3928858271302</v>
      </c>
      <c r="E16" s="39">
        <v>430.719187773366</v>
      </c>
      <c r="F16" s="39">
        <v>171.115638853039</v>
      </c>
      <c r="G16" s="39">
        <v>0</v>
      </c>
      <c r="H16" s="39">
        <v>0</v>
      </c>
      <c r="I16" s="25">
        <v>371.17812694976999</v>
      </c>
      <c r="J16" s="25">
        <v>371.17587335178098</v>
      </c>
    </row>
    <row r="17" spans="1:10" x14ac:dyDescent="0.35">
      <c r="A17" t="s">
        <v>314</v>
      </c>
      <c r="B17" s="39">
        <v>32.228099999999998</v>
      </c>
      <c r="C17" s="39">
        <v>40.314300000000003</v>
      </c>
      <c r="D17" s="39">
        <v>20.057895089335499</v>
      </c>
      <c r="E17" s="39">
        <v>212.53125250590099</v>
      </c>
      <c r="F17" s="39">
        <v>232.15059104063999</v>
      </c>
      <c r="G17" s="39">
        <v>0</v>
      </c>
      <c r="H17" s="39">
        <v>0</v>
      </c>
      <c r="I17" s="25">
        <v>314.31200044543402</v>
      </c>
      <c r="J17" s="25">
        <v>314.31163251486203</v>
      </c>
    </row>
    <row r="18" spans="1:10" x14ac:dyDescent="0.35">
      <c r="A18" t="s">
        <v>315</v>
      </c>
      <c r="B18" s="39">
        <v>17.962800000000001</v>
      </c>
      <c r="C18" s="39">
        <v>47.815199999999898</v>
      </c>
      <c r="D18" s="39">
        <v>62.432866536164099</v>
      </c>
      <c r="E18" s="39">
        <v>445.06428752932698</v>
      </c>
      <c r="F18" s="39">
        <v>-208.34730330861001</v>
      </c>
      <c r="G18" s="39">
        <v>0</v>
      </c>
      <c r="H18" s="39">
        <v>0</v>
      </c>
      <c r="I18" s="25">
        <v>250.000891850127</v>
      </c>
      <c r="J18" s="25">
        <v>479.63267273783998</v>
      </c>
    </row>
    <row r="19" spans="1:10" x14ac:dyDescent="0.35">
      <c r="A19" t="s">
        <v>316</v>
      </c>
      <c r="B19" s="39">
        <v>14.417639999999899</v>
      </c>
      <c r="C19" s="39">
        <v>35.592779999999998</v>
      </c>
      <c r="D19" s="39">
        <v>59.492796010876397</v>
      </c>
      <c r="E19" s="39">
        <v>572.56251761156398</v>
      </c>
      <c r="F19" s="39">
        <v>215.165949278482</v>
      </c>
      <c r="G19" s="39">
        <v>0</v>
      </c>
      <c r="H19" s="39">
        <v>0</v>
      </c>
      <c r="I19" s="25">
        <v>380.539721965448</v>
      </c>
      <c r="J19" s="25">
        <v>380.53917230083198</v>
      </c>
    </row>
    <row r="20" spans="1:10" x14ac:dyDescent="0.35">
      <c r="A20" t="s">
        <v>317</v>
      </c>
      <c r="B20" s="39">
        <v>16.201199999999901</v>
      </c>
      <c r="C20" s="39">
        <v>35.681100000000001</v>
      </c>
      <c r="D20" s="39">
        <v>54.594449162161503</v>
      </c>
      <c r="E20" s="39">
        <v>485.249623008605</v>
      </c>
      <c r="F20" s="39">
        <v>149.307918542609</v>
      </c>
      <c r="G20" s="39">
        <v>0</v>
      </c>
      <c r="H20" s="39">
        <v>0</v>
      </c>
      <c r="I20" s="25">
        <v>380.20620089503899</v>
      </c>
      <c r="J20" s="25">
        <v>380.20387931670399</v>
      </c>
    </row>
    <row r="21" spans="1:10" x14ac:dyDescent="0.35">
      <c r="A21" s="1" t="s">
        <v>320</v>
      </c>
    </row>
    <row r="22" spans="1:10" x14ac:dyDescent="0.35">
      <c r="A22" t="s">
        <v>300</v>
      </c>
      <c r="B22" t="s">
        <v>301</v>
      </c>
      <c r="C22" t="s">
        <v>302</v>
      </c>
      <c r="D22" t="s">
        <v>303</v>
      </c>
      <c r="E22" t="s">
        <v>304</v>
      </c>
      <c r="F22" t="s">
        <v>305</v>
      </c>
      <c r="G22" t="s">
        <v>306</v>
      </c>
      <c r="H22" t="s">
        <v>307</v>
      </c>
      <c r="I22" t="s">
        <v>308</v>
      </c>
      <c r="J22" t="s">
        <v>309</v>
      </c>
    </row>
    <row r="23" spans="1:10" x14ac:dyDescent="0.35">
      <c r="A23" t="s">
        <v>310</v>
      </c>
      <c r="B23" s="39">
        <v>17.965800000000002</v>
      </c>
      <c r="C23" s="39">
        <v>72.319500000000005</v>
      </c>
      <c r="D23" s="39">
        <v>75.157737539667707</v>
      </c>
      <c r="E23" s="39">
        <v>274.88685194803298</v>
      </c>
      <c r="F23" s="39">
        <v>128.43675926694701</v>
      </c>
      <c r="G23" s="39">
        <v>0</v>
      </c>
      <c r="H23" s="39">
        <v>0</v>
      </c>
      <c r="I23" s="25">
        <v>207.01270091438599</v>
      </c>
      <c r="J23" s="25">
        <v>207.01270091438599</v>
      </c>
    </row>
    <row r="24" spans="1:10" x14ac:dyDescent="0.35">
      <c r="A24" t="s">
        <v>311</v>
      </c>
      <c r="B24" s="39">
        <v>17.957100000000001</v>
      </c>
      <c r="C24" s="39">
        <v>17.957100000000001</v>
      </c>
      <c r="D24" s="39">
        <v>0</v>
      </c>
      <c r="E24" s="39">
        <v>346.06870844718998</v>
      </c>
      <c r="F24" s="39">
        <v>189.791853339402</v>
      </c>
      <c r="G24" s="39">
        <v>0</v>
      </c>
      <c r="H24" s="39">
        <v>0</v>
      </c>
      <c r="I24" s="25">
        <v>402.29200000039299</v>
      </c>
      <c r="J24" s="25">
        <v>150</v>
      </c>
    </row>
    <row r="25" spans="1:10" x14ac:dyDescent="0.35">
      <c r="A25" t="s">
        <v>312</v>
      </c>
      <c r="B25" s="39">
        <v>13.6151999999999</v>
      </c>
      <c r="C25" s="39">
        <v>40.331999999999901</v>
      </c>
      <c r="D25" s="39">
        <v>66.242189824457</v>
      </c>
      <c r="E25" s="39">
        <v>426.32133944138599</v>
      </c>
      <c r="F25" s="39">
        <v>398.14451972596402</v>
      </c>
      <c r="G25" s="39">
        <v>0</v>
      </c>
      <c r="H25" s="39">
        <v>0</v>
      </c>
      <c r="I25" s="25">
        <v>304.18800005289501</v>
      </c>
      <c r="J25" s="25">
        <v>176.672851827556</v>
      </c>
    </row>
    <row r="26" spans="1:10" x14ac:dyDescent="0.35">
      <c r="A26" t="s">
        <v>313</v>
      </c>
      <c r="B26" s="39">
        <v>17.959800000000001</v>
      </c>
      <c r="C26" s="39">
        <v>71.348399999999899</v>
      </c>
      <c r="D26" s="39">
        <v>74.828026977479396</v>
      </c>
      <c r="E26" s="39">
        <v>277.71156076020998</v>
      </c>
      <c r="F26" s="39">
        <v>151.03350856926201</v>
      </c>
      <c r="G26" s="39">
        <v>0</v>
      </c>
      <c r="H26" s="39">
        <v>0</v>
      </c>
      <c r="I26" s="25">
        <v>206.51056543729601</v>
      </c>
      <c r="J26" s="25">
        <v>206.51043470522799</v>
      </c>
    </row>
    <row r="27" spans="1:10" x14ac:dyDescent="0.35">
      <c r="A27" t="s">
        <v>314</v>
      </c>
      <c r="B27" s="39">
        <v>10.2035999999999</v>
      </c>
      <c r="C27" s="39">
        <v>40.331999999999901</v>
      </c>
      <c r="D27" s="39">
        <v>74.700981850639707</v>
      </c>
      <c r="E27" s="39">
        <v>608.80931135923504</v>
      </c>
      <c r="F27" s="39">
        <v>462.05353936763697</v>
      </c>
      <c r="G27" s="39">
        <v>0</v>
      </c>
      <c r="H27" s="39">
        <v>0</v>
      </c>
      <c r="I27" s="25">
        <v>304.18800005289501</v>
      </c>
      <c r="J27" s="25">
        <v>204.99234385732501</v>
      </c>
    </row>
    <row r="28" spans="1:10" x14ac:dyDescent="0.35">
      <c r="A28" t="s">
        <v>315</v>
      </c>
      <c r="B28" s="39">
        <v>17.962199999999999</v>
      </c>
      <c r="C28" s="39">
        <v>55.360199999999999</v>
      </c>
      <c r="D28" s="39">
        <v>67.553946698169398</v>
      </c>
      <c r="E28" s="39">
        <v>285.424439325766</v>
      </c>
      <c r="F28" s="39">
        <v>299.22928951143598</v>
      </c>
      <c r="G28" s="39">
        <v>0</v>
      </c>
      <c r="H28" s="39">
        <v>0</v>
      </c>
      <c r="I28" s="25">
        <v>250.00024543356901</v>
      </c>
      <c r="J28" s="25">
        <v>192.191911045642</v>
      </c>
    </row>
    <row r="29" spans="1:10" x14ac:dyDescent="0.35">
      <c r="A29" t="s">
        <v>316</v>
      </c>
      <c r="B29" s="39">
        <v>10.99605</v>
      </c>
      <c r="C29" s="39">
        <v>69.727319999999906</v>
      </c>
      <c r="D29" s="39">
        <v>84.229925945812894</v>
      </c>
      <c r="E29" s="39">
        <v>494.45604889754901</v>
      </c>
      <c r="F29" s="39">
        <v>251.70876013815101</v>
      </c>
      <c r="G29" s="39">
        <v>0</v>
      </c>
      <c r="H29" s="39">
        <v>0</v>
      </c>
      <c r="I29" s="25">
        <v>210.66156696950799</v>
      </c>
      <c r="J29" s="25">
        <v>210.66128024275699</v>
      </c>
    </row>
    <row r="30" spans="1:10" x14ac:dyDescent="0.35">
      <c r="A30" t="s">
        <v>317</v>
      </c>
      <c r="B30" s="39">
        <v>12.764699999999999</v>
      </c>
      <c r="C30" s="39">
        <v>70.016399999999905</v>
      </c>
      <c r="D30" s="39">
        <v>81.768985551956305</v>
      </c>
      <c r="E30" s="39">
        <v>408.96017343677602</v>
      </c>
      <c r="F30" s="39">
        <v>129.166417747032</v>
      </c>
      <c r="G30" s="39">
        <v>0</v>
      </c>
      <c r="H30" s="39">
        <v>0</v>
      </c>
      <c r="I30" s="25">
        <v>210.62320802647201</v>
      </c>
      <c r="J30" s="25">
        <v>210.62227127822101</v>
      </c>
    </row>
    <row r="31" spans="1:10" x14ac:dyDescent="0.35">
      <c r="A31" s="1" t="s">
        <v>321</v>
      </c>
    </row>
    <row r="32" spans="1:10" x14ac:dyDescent="0.35">
      <c r="A32" t="s">
        <v>300</v>
      </c>
      <c r="B32" t="s">
        <v>301</v>
      </c>
      <c r="C32" t="s">
        <v>302</v>
      </c>
      <c r="D32" t="s">
        <v>303</v>
      </c>
      <c r="E32" t="s">
        <v>304</v>
      </c>
      <c r="F32" t="s">
        <v>305</v>
      </c>
      <c r="G32" t="s">
        <v>306</v>
      </c>
      <c r="H32" t="s">
        <v>307</v>
      </c>
      <c r="I32" t="s">
        <v>308</v>
      </c>
      <c r="J32" t="s">
        <v>309</v>
      </c>
    </row>
    <row r="33" spans="1:10" x14ac:dyDescent="0.35">
      <c r="A33" s="17" t="s">
        <v>310</v>
      </c>
      <c r="B33" s="39">
        <v>17.965199999999999</v>
      </c>
      <c r="C33" s="39">
        <v>114.16889999999999</v>
      </c>
      <c r="D33" s="39">
        <v>84.264366215317807</v>
      </c>
      <c r="E33" s="39">
        <v>556.79799674601497</v>
      </c>
      <c r="F33" s="39">
        <v>143.22786811466801</v>
      </c>
      <c r="G33" s="39">
        <v>0</v>
      </c>
      <c r="H33" s="39">
        <v>0</v>
      </c>
      <c r="I33" s="25">
        <v>241.99275751295801</v>
      </c>
      <c r="J33" s="25">
        <v>241.99275751295801</v>
      </c>
    </row>
    <row r="34" spans="1:10" x14ac:dyDescent="0.35">
      <c r="A34" t="s">
        <v>311</v>
      </c>
      <c r="B34" s="39">
        <v>17.959800000000001</v>
      </c>
      <c r="C34" s="39">
        <v>17.959800000000001</v>
      </c>
      <c r="D34" s="39">
        <v>0</v>
      </c>
      <c r="E34" s="39">
        <v>703.16171726952098</v>
      </c>
      <c r="F34" s="39">
        <v>280.79896343514298</v>
      </c>
      <c r="G34" s="39">
        <v>0</v>
      </c>
      <c r="H34" s="39">
        <v>0</v>
      </c>
      <c r="I34" s="25">
        <v>378.99500005053898</v>
      </c>
      <c r="J34" s="25">
        <v>150</v>
      </c>
    </row>
    <row r="35" spans="1:10" x14ac:dyDescent="0.35">
      <c r="A35" t="s">
        <v>312</v>
      </c>
      <c r="B35" s="39">
        <v>13.6083</v>
      </c>
      <c r="C35" s="39">
        <v>40.316999999999901</v>
      </c>
      <c r="D35" s="39">
        <v>66.246744549445594</v>
      </c>
      <c r="E35" s="39">
        <v>895.08582649233904</v>
      </c>
      <c r="F35" s="39">
        <v>581.21682119402897</v>
      </c>
      <c r="G35" s="39">
        <v>0</v>
      </c>
      <c r="H35" s="39">
        <v>0</v>
      </c>
      <c r="I35" s="25">
        <v>339.995000113956</v>
      </c>
      <c r="J35" s="25">
        <v>176.67299999999699</v>
      </c>
    </row>
    <row r="36" spans="1:10" x14ac:dyDescent="0.35">
      <c r="A36" t="s">
        <v>313</v>
      </c>
      <c r="B36" s="39">
        <v>17.9742</v>
      </c>
      <c r="C36" s="39">
        <v>113.455799999999</v>
      </c>
      <c r="D36" s="39">
        <v>84.157530950378899</v>
      </c>
      <c r="E36" s="39">
        <v>564.28273830376804</v>
      </c>
      <c r="F36" s="39">
        <v>202.343530107036</v>
      </c>
      <c r="G36" s="39">
        <v>0</v>
      </c>
      <c r="H36" s="39">
        <v>0</v>
      </c>
      <c r="I36" s="25">
        <v>241.594495894852</v>
      </c>
      <c r="J36" s="25">
        <v>241.59550531551301</v>
      </c>
    </row>
    <row r="37" spans="1:10" x14ac:dyDescent="0.35">
      <c r="A37" t="s">
        <v>314</v>
      </c>
      <c r="B37" s="39">
        <v>0.42420000000000202</v>
      </c>
      <c r="C37" s="39">
        <v>40.316999999999901</v>
      </c>
      <c r="D37" s="39">
        <v>98.947838380831897</v>
      </c>
      <c r="E37" s="39">
        <v>33563.156257362301</v>
      </c>
      <c r="F37" s="39">
        <v>11535.104316799499</v>
      </c>
      <c r="G37" s="39">
        <v>0</v>
      </c>
      <c r="H37" s="39">
        <v>0</v>
      </c>
      <c r="I37" s="25">
        <v>339.995000113956</v>
      </c>
      <c r="J37" s="25">
        <v>240.991319386849</v>
      </c>
    </row>
    <row r="38" spans="1:10" x14ac:dyDescent="0.35">
      <c r="A38" t="s">
        <v>315</v>
      </c>
      <c r="B38" s="39">
        <v>17.964600000000001</v>
      </c>
      <c r="C38" s="39">
        <v>100.490099999999</v>
      </c>
      <c r="D38" s="39">
        <v>82.123015102980204</v>
      </c>
      <c r="E38" s="39">
        <v>578.13077375370904</v>
      </c>
      <c r="F38" s="39">
        <v>330.75128150422103</v>
      </c>
      <c r="G38" s="39">
        <v>0</v>
      </c>
      <c r="H38" s="39">
        <v>0</v>
      </c>
      <c r="I38" s="25">
        <v>250.00290407764399</v>
      </c>
      <c r="J38" s="25">
        <v>235.991911085737</v>
      </c>
    </row>
    <row r="39" spans="1:10" x14ac:dyDescent="0.35">
      <c r="A39" t="s">
        <v>316</v>
      </c>
      <c r="B39" s="39">
        <v>7.0725899999999999</v>
      </c>
      <c r="C39" s="39">
        <v>109.08906</v>
      </c>
      <c r="D39" s="39">
        <v>93.516682607770093</v>
      </c>
      <c r="E39" s="39">
        <v>1552.2856888441399</v>
      </c>
      <c r="F39" s="39">
        <v>531.83183990862301</v>
      </c>
      <c r="G39" s="39">
        <v>0</v>
      </c>
      <c r="H39" s="39">
        <v>0</v>
      </c>
      <c r="I39" s="25">
        <v>246.91411318107299</v>
      </c>
      <c r="J39" s="25">
        <v>246.91381903228299</v>
      </c>
    </row>
    <row r="40" spans="1:10" x14ac:dyDescent="0.35">
      <c r="A40" t="s">
        <v>317</v>
      </c>
      <c r="B40" s="39">
        <v>8.7866999999999802</v>
      </c>
      <c r="C40" s="39">
        <v>109.7715</v>
      </c>
      <c r="D40" s="39">
        <v>91.995463303316399</v>
      </c>
      <c r="E40" s="39">
        <v>1219.3124605369201</v>
      </c>
      <c r="F40" s="39">
        <v>168.014299650189</v>
      </c>
      <c r="G40" s="39">
        <v>0</v>
      </c>
      <c r="H40" s="39">
        <v>0</v>
      </c>
      <c r="I40" s="25">
        <v>246.87560126669101</v>
      </c>
      <c r="J40" s="25">
        <v>246.87804006392301</v>
      </c>
    </row>
  </sheetData>
  <conditionalFormatting sqref="B3:B10">
    <cfRule type="colorScale" priority="42">
      <colorScale>
        <cfvo type="min"/>
        <cfvo type="percentile" val="50"/>
        <cfvo type="max"/>
        <color rgb="FF63BE7B"/>
        <color rgb="FFFFEB84"/>
        <color rgb="FFF8696B"/>
      </colorScale>
    </cfRule>
  </conditionalFormatting>
  <conditionalFormatting sqref="C3:C10">
    <cfRule type="colorScale" priority="41">
      <colorScale>
        <cfvo type="min"/>
        <cfvo type="percentile" val="50"/>
        <cfvo type="max"/>
        <color rgb="FF63BE7B"/>
        <color rgb="FFFFEB84"/>
        <color rgb="FFF8696B"/>
      </colorScale>
    </cfRule>
  </conditionalFormatting>
  <conditionalFormatting sqref="D3:D10">
    <cfRule type="colorScale" priority="40">
      <colorScale>
        <cfvo type="min"/>
        <cfvo type="percentile" val="50"/>
        <cfvo type="max"/>
        <color rgb="FF63BE7B"/>
        <color rgb="FFFFEB84"/>
        <color rgb="FFF8696B"/>
      </colorScale>
    </cfRule>
  </conditionalFormatting>
  <conditionalFormatting sqref="E3:E10">
    <cfRule type="colorScale" priority="39">
      <colorScale>
        <cfvo type="min"/>
        <cfvo type="percentile" val="50"/>
        <cfvo type="max"/>
        <color rgb="FF63BE7B"/>
        <color rgb="FFFFEB84"/>
        <color rgb="FFF8696B"/>
      </colorScale>
    </cfRule>
  </conditionalFormatting>
  <conditionalFormatting sqref="F3:F10">
    <cfRule type="colorScale" priority="38">
      <colorScale>
        <cfvo type="min"/>
        <cfvo type="percentile" val="50"/>
        <cfvo type="max"/>
        <color rgb="FFF8696B"/>
        <color rgb="FFFFEB84"/>
        <color rgb="FF63BE7B"/>
      </colorScale>
    </cfRule>
  </conditionalFormatting>
  <conditionalFormatting sqref="G3:G10">
    <cfRule type="colorScale" priority="37">
      <colorScale>
        <cfvo type="min"/>
        <cfvo type="percentile" val="50"/>
        <cfvo type="max"/>
        <color rgb="FFF8696B"/>
        <color rgb="FFFFEB84"/>
        <color rgb="FF63BE7B"/>
      </colorScale>
    </cfRule>
  </conditionalFormatting>
  <conditionalFormatting sqref="H3:H10">
    <cfRule type="colorScale" priority="36">
      <colorScale>
        <cfvo type="min"/>
        <cfvo type="percentile" val="50"/>
        <cfvo type="max"/>
        <color rgb="FFF8696B"/>
        <color rgb="FFFFEB84"/>
        <color rgb="FF63BE7B"/>
      </colorScale>
    </cfRule>
  </conditionalFormatting>
  <conditionalFormatting sqref="I3:I10">
    <cfRule type="colorScale" priority="35">
      <colorScale>
        <cfvo type="min"/>
        <cfvo type="percentile" val="50"/>
        <cfvo type="max"/>
        <color rgb="FF63BE7B"/>
        <color rgb="FFFFEB84"/>
        <color rgb="FFF8696B"/>
      </colorScale>
    </cfRule>
  </conditionalFormatting>
  <conditionalFormatting sqref="J3:J10">
    <cfRule type="colorScale" priority="34">
      <colorScale>
        <cfvo type="min"/>
        <cfvo type="percentile" val="50"/>
        <cfvo type="max"/>
        <color rgb="FF63BE7B"/>
        <color rgb="FFFFEB84"/>
        <color rgb="FFF8696B"/>
      </colorScale>
    </cfRule>
  </conditionalFormatting>
  <conditionalFormatting sqref="B13:B20">
    <cfRule type="colorScale" priority="33">
      <colorScale>
        <cfvo type="min"/>
        <cfvo type="percentile" val="50"/>
        <cfvo type="max"/>
        <color rgb="FF63BE7B"/>
        <color rgb="FFFFEB84"/>
        <color rgb="FFF8696B"/>
      </colorScale>
    </cfRule>
  </conditionalFormatting>
  <conditionalFormatting sqref="C13:C20">
    <cfRule type="colorScale" priority="32">
      <colorScale>
        <cfvo type="min"/>
        <cfvo type="percentile" val="50"/>
        <cfvo type="max"/>
        <color rgb="FF63BE7B"/>
        <color rgb="FFFFEB84"/>
        <color rgb="FFF8696B"/>
      </colorScale>
    </cfRule>
  </conditionalFormatting>
  <conditionalFormatting sqref="D13:D20">
    <cfRule type="colorScale" priority="31">
      <colorScale>
        <cfvo type="min"/>
        <cfvo type="percentile" val="50"/>
        <cfvo type="max"/>
        <color rgb="FF63BE7B"/>
        <color rgb="FFFFEB84"/>
        <color rgb="FFF8696B"/>
      </colorScale>
    </cfRule>
  </conditionalFormatting>
  <conditionalFormatting sqref="E13:E20">
    <cfRule type="colorScale" priority="30">
      <colorScale>
        <cfvo type="min"/>
        <cfvo type="percentile" val="50"/>
        <cfvo type="max"/>
        <color rgb="FF63BE7B"/>
        <color rgb="FFFFEB84"/>
        <color rgb="FFF8696B"/>
      </colorScale>
    </cfRule>
  </conditionalFormatting>
  <conditionalFormatting sqref="F13:F20">
    <cfRule type="colorScale" priority="29">
      <colorScale>
        <cfvo type="min"/>
        <cfvo type="percentile" val="50"/>
        <cfvo type="max"/>
        <color rgb="FFF8696B"/>
        <color rgb="FFFFEB84"/>
        <color rgb="FF63BE7B"/>
      </colorScale>
    </cfRule>
  </conditionalFormatting>
  <conditionalFormatting sqref="G13:G20">
    <cfRule type="colorScale" priority="28">
      <colorScale>
        <cfvo type="min"/>
        <cfvo type="percentile" val="50"/>
        <cfvo type="max"/>
        <color rgb="FFF8696B"/>
        <color rgb="FFFFEB84"/>
        <color rgb="FF63BE7B"/>
      </colorScale>
    </cfRule>
  </conditionalFormatting>
  <conditionalFormatting sqref="H13:H20">
    <cfRule type="colorScale" priority="27">
      <colorScale>
        <cfvo type="min"/>
        <cfvo type="percentile" val="50"/>
        <cfvo type="max"/>
        <color rgb="FFF8696B"/>
        <color rgb="FFFFEB84"/>
        <color rgb="FF63BE7B"/>
      </colorScale>
    </cfRule>
  </conditionalFormatting>
  <conditionalFormatting sqref="I13:I20">
    <cfRule type="colorScale" priority="26">
      <colorScale>
        <cfvo type="min"/>
        <cfvo type="percentile" val="50"/>
        <cfvo type="max"/>
        <color rgb="FF63BE7B"/>
        <color rgb="FFFFEB84"/>
        <color rgb="FFF8696B"/>
      </colorScale>
    </cfRule>
  </conditionalFormatting>
  <conditionalFormatting sqref="J13:J20">
    <cfRule type="colorScale" priority="25">
      <colorScale>
        <cfvo type="min"/>
        <cfvo type="percentile" val="50"/>
        <cfvo type="max"/>
        <color rgb="FF63BE7B"/>
        <color rgb="FFFFEB84"/>
        <color rgb="FFF8696B"/>
      </colorScale>
    </cfRule>
  </conditionalFormatting>
  <conditionalFormatting sqref="G13:H20">
    <cfRule type="colorScale" priority="24">
      <colorScale>
        <cfvo type="min"/>
        <cfvo type="percentile" val="50"/>
        <cfvo type="max"/>
        <color rgb="FF63BE7B"/>
        <color rgb="FFFFEB84"/>
        <color rgb="FFF8696B"/>
      </colorScale>
    </cfRule>
  </conditionalFormatting>
  <conditionalFormatting sqref="B23:B30">
    <cfRule type="colorScale" priority="23">
      <colorScale>
        <cfvo type="min"/>
        <cfvo type="percentile" val="50"/>
        <cfvo type="max"/>
        <color rgb="FF63BE7B"/>
        <color rgb="FFFFEB84"/>
        <color rgb="FFF8696B"/>
      </colorScale>
    </cfRule>
  </conditionalFormatting>
  <conditionalFormatting sqref="C23:C30">
    <cfRule type="colorScale" priority="22">
      <colorScale>
        <cfvo type="min"/>
        <cfvo type="percentile" val="50"/>
        <cfvo type="max"/>
        <color rgb="FF63BE7B"/>
        <color rgb="FFFFEB84"/>
        <color rgb="FFF8696B"/>
      </colorScale>
    </cfRule>
  </conditionalFormatting>
  <conditionalFormatting sqref="D23:D30">
    <cfRule type="colorScale" priority="21">
      <colorScale>
        <cfvo type="min"/>
        <cfvo type="percentile" val="50"/>
        <cfvo type="max"/>
        <color rgb="FF63BE7B"/>
        <color rgb="FFFFEB84"/>
        <color rgb="FFF8696B"/>
      </colorScale>
    </cfRule>
  </conditionalFormatting>
  <conditionalFormatting sqref="E23:E30">
    <cfRule type="colorScale" priority="20">
      <colorScale>
        <cfvo type="min"/>
        <cfvo type="percentile" val="50"/>
        <cfvo type="max"/>
        <color rgb="FF63BE7B"/>
        <color rgb="FFFFEB84"/>
        <color rgb="FFF8696B"/>
      </colorScale>
    </cfRule>
  </conditionalFormatting>
  <conditionalFormatting sqref="F23:F30">
    <cfRule type="colorScale" priority="19">
      <colorScale>
        <cfvo type="min"/>
        <cfvo type="percentile" val="50"/>
        <cfvo type="max"/>
        <color rgb="FFF8696B"/>
        <color rgb="FFFFEB84"/>
        <color rgb="FF63BE7B"/>
      </colorScale>
    </cfRule>
  </conditionalFormatting>
  <conditionalFormatting sqref="G23:G30">
    <cfRule type="colorScale" priority="18">
      <colorScale>
        <cfvo type="min"/>
        <cfvo type="percentile" val="50"/>
        <cfvo type="max"/>
        <color rgb="FFF8696B"/>
        <color rgb="FFFFEB84"/>
        <color rgb="FF63BE7B"/>
      </colorScale>
    </cfRule>
  </conditionalFormatting>
  <conditionalFormatting sqref="H23:H30">
    <cfRule type="colorScale" priority="17">
      <colorScale>
        <cfvo type="min"/>
        <cfvo type="percentile" val="50"/>
        <cfvo type="max"/>
        <color rgb="FFF8696B"/>
        <color rgb="FFFFEB84"/>
        <color rgb="FF63BE7B"/>
      </colorScale>
    </cfRule>
  </conditionalFormatting>
  <conditionalFormatting sqref="I23:I30">
    <cfRule type="colorScale" priority="16">
      <colorScale>
        <cfvo type="min"/>
        <cfvo type="percentile" val="50"/>
        <cfvo type="max"/>
        <color rgb="FF63BE7B"/>
        <color rgb="FFFFEB84"/>
        <color rgb="FFF8696B"/>
      </colorScale>
    </cfRule>
  </conditionalFormatting>
  <conditionalFormatting sqref="J23:J30">
    <cfRule type="colorScale" priority="15">
      <colorScale>
        <cfvo type="min"/>
        <cfvo type="percentile" val="50"/>
        <cfvo type="max"/>
        <color rgb="FF63BE7B"/>
        <color rgb="FFFFEB84"/>
        <color rgb="FFF8696B"/>
      </colorScale>
    </cfRule>
  </conditionalFormatting>
  <conditionalFormatting sqref="G23:H30">
    <cfRule type="colorScale" priority="14">
      <colorScale>
        <cfvo type="min"/>
        <cfvo type="percentile" val="50"/>
        <cfvo type="max"/>
        <color rgb="FF63BE7B"/>
        <color rgb="FFFFEB84"/>
        <color rgb="FFF8696B"/>
      </colorScale>
    </cfRule>
  </conditionalFormatting>
  <conditionalFormatting sqref="B33:B40">
    <cfRule type="colorScale" priority="13">
      <colorScale>
        <cfvo type="min"/>
        <cfvo type="percentile" val="50"/>
        <cfvo type="max"/>
        <color rgb="FF63BE7B"/>
        <color rgb="FFFFEB84"/>
        <color rgb="FFF8696B"/>
      </colorScale>
    </cfRule>
  </conditionalFormatting>
  <conditionalFormatting sqref="C33:C40">
    <cfRule type="colorScale" priority="12">
      <colorScale>
        <cfvo type="min"/>
        <cfvo type="percentile" val="50"/>
        <cfvo type="max"/>
        <color rgb="FF63BE7B"/>
        <color rgb="FFFFEB84"/>
        <color rgb="FFF8696B"/>
      </colorScale>
    </cfRule>
  </conditionalFormatting>
  <conditionalFormatting sqref="D33:D40">
    <cfRule type="colorScale" priority="11">
      <colorScale>
        <cfvo type="min"/>
        <cfvo type="percentile" val="50"/>
        <cfvo type="max"/>
        <color rgb="FF63BE7B"/>
        <color rgb="FFFFEB84"/>
        <color rgb="FFF8696B"/>
      </colorScale>
    </cfRule>
  </conditionalFormatting>
  <conditionalFormatting sqref="E33:E40">
    <cfRule type="colorScale" priority="10">
      <colorScale>
        <cfvo type="min"/>
        <cfvo type="percentile" val="50"/>
        <cfvo type="max"/>
        <color rgb="FF63BE7B"/>
        <color rgb="FFFFEB84"/>
        <color rgb="FFF8696B"/>
      </colorScale>
    </cfRule>
  </conditionalFormatting>
  <conditionalFormatting sqref="F33:F40">
    <cfRule type="colorScale" priority="9">
      <colorScale>
        <cfvo type="min"/>
        <cfvo type="percentile" val="50"/>
        <cfvo type="max"/>
        <color rgb="FFF8696B"/>
        <color rgb="FFFFEB84"/>
        <color rgb="FF63BE7B"/>
      </colorScale>
    </cfRule>
  </conditionalFormatting>
  <conditionalFormatting sqref="G33:G40">
    <cfRule type="colorScale" priority="8">
      <colorScale>
        <cfvo type="min"/>
        <cfvo type="percentile" val="50"/>
        <cfvo type="max"/>
        <color rgb="FFF8696B"/>
        <color rgb="FFFFEB84"/>
        <color rgb="FF63BE7B"/>
      </colorScale>
    </cfRule>
  </conditionalFormatting>
  <conditionalFormatting sqref="H33:H40">
    <cfRule type="colorScale" priority="7">
      <colorScale>
        <cfvo type="min"/>
        <cfvo type="percentile" val="50"/>
        <cfvo type="max"/>
        <color rgb="FFF8696B"/>
        <color rgb="FFFFEB84"/>
        <color rgb="FF63BE7B"/>
      </colorScale>
    </cfRule>
  </conditionalFormatting>
  <conditionalFormatting sqref="I33:I40">
    <cfRule type="colorScale" priority="6">
      <colorScale>
        <cfvo type="min"/>
        <cfvo type="percentile" val="50"/>
        <cfvo type="max"/>
        <color rgb="FF63BE7B"/>
        <color rgb="FFFFEB84"/>
        <color rgb="FFF8696B"/>
      </colorScale>
    </cfRule>
  </conditionalFormatting>
  <conditionalFormatting sqref="J33:J40">
    <cfRule type="colorScale" priority="5">
      <colorScale>
        <cfvo type="min"/>
        <cfvo type="percentile" val="50"/>
        <cfvo type="max"/>
        <color rgb="FF63BE7B"/>
        <color rgb="FFFFEB84"/>
        <color rgb="FFF8696B"/>
      </colorScale>
    </cfRule>
  </conditionalFormatting>
  <conditionalFormatting sqref="G33:H40">
    <cfRule type="colorScale" priority="4">
      <colorScale>
        <cfvo type="min"/>
        <cfvo type="percentile" val="50"/>
        <cfvo type="max"/>
        <color rgb="FF63BE7B"/>
        <color rgb="FFFFEB84"/>
        <color rgb="FFF8696B"/>
      </colorScale>
    </cfRule>
  </conditionalFormatting>
  <conditionalFormatting sqref="F4:F10">
    <cfRule type="colorScale" priority="3">
      <colorScale>
        <cfvo type="min"/>
        <cfvo type="percentile" val="50"/>
        <cfvo type="max"/>
        <color rgb="FFF8696B"/>
        <color rgb="FFFFEB84"/>
        <color rgb="FF63BE7B"/>
      </colorScale>
    </cfRule>
  </conditionalFormatting>
  <conditionalFormatting sqref="I4:I10">
    <cfRule type="colorScale" priority="2">
      <colorScale>
        <cfvo type="min"/>
        <cfvo type="percentile" val="50"/>
        <cfvo type="max"/>
        <color rgb="FF63BE7B"/>
        <color rgb="FFFFEB84"/>
        <color rgb="FFF8696B"/>
      </colorScale>
    </cfRule>
  </conditionalFormatting>
  <conditionalFormatting sqref="J4:J10">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5612-C2B5-48FA-A09E-DD27C45A7C31}">
  <dimension ref="A1:E12"/>
  <sheetViews>
    <sheetView workbookViewId="0">
      <selection activeCell="B22" sqref="B22"/>
    </sheetView>
  </sheetViews>
  <sheetFormatPr defaultRowHeight="14.5" x14ac:dyDescent="0.35"/>
  <cols>
    <col min="1" max="1" width="16.453125" bestFit="1" customWidth="1"/>
    <col min="3" max="3" width="16.453125" bestFit="1" customWidth="1"/>
    <col min="5" max="5" width="69.54296875" bestFit="1" customWidth="1"/>
  </cols>
  <sheetData>
    <row r="1" spans="1:5" x14ac:dyDescent="0.35">
      <c r="A1" s="1" t="s">
        <v>56</v>
      </c>
      <c r="B1" s="1" t="s">
        <v>57</v>
      </c>
      <c r="C1" s="1" t="s">
        <v>58</v>
      </c>
      <c r="D1" s="1" t="s">
        <v>5</v>
      </c>
      <c r="E1" s="1" t="s">
        <v>18</v>
      </c>
    </row>
    <row r="2" spans="1:5" x14ac:dyDescent="0.35">
      <c r="A2" s="9" t="s">
        <v>65</v>
      </c>
      <c r="B2">
        <v>0</v>
      </c>
      <c r="C2" s="12" t="s">
        <v>109</v>
      </c>
      <c r="D2" t="s">
        <v>114</v>
      </c>
      <c r="E2" t="s">
        <v>63</v>
      </c>
    </row>
    <row r="3" spans="1:5" x14ac:dyDescent="0.35">
      <c r="A3" s="9" t="s">
        <v>67</v>
      </c>
      <c r="B3">
        <v>0</v>
      </c>
      <c r="C3" s="12" t="s">
        <v>110</v>
      </c>
      <c r="D3" t="s">
        <v>59</v>
      </c>
      <c r="E3" t="s">
        <v>64</v>
      </c>
    </row>
    <row r="4" spans="1:5" x14ac:dyDescent="0.35">
      <c r="A4" s="9" t="s">
        <v>68</v>
      </c>
      <c r="B4">
        <v>0</v>
      </c>
      <c r="C4" s="14" t="s">
        <v>112</v>
      </c>
      <c r="D4" t="s">
        <v>59</v>
      </c>
      <c r="E4" t="s">
        <v>60</v>
      </c>
    </row>
    <row r="5" spans="1:5" x14ac:dyDescent="0.35">
      <c r="A5" s="10" t="s">
        <v>66</v>
      </c>
      <c r="B5">
        <v>0</v>
      </c>
      <c r="C5" s="12" t="s">
        <v>109</v>
      </c>
      <c r="D5" t="s">
        <v>59</v>
      </c>
      <c r="E5" t="s">
        <v>71</v>
      </c>
    </row>
    <row r="6" spans="1:5" x14ac:dyDescent="0.35">
      <c r="A6" s="10" t="s">
        <v>108</v>
      </c>
      <c r="B6">
        <v>0</v>
      </c>
      <c r="C6" s="12" t="s">
        <v>109</v>
      </c>
      <c r="D6" t="s">
        <v>59</v>
      </c>
      <c r="E6" t="s">
        <v>72</v>
      </c>
    </row>
    <row r="7" spans="1:5" x14ac:dyDescent="0.35">
      <c r="A7" s="11" t="s">
        <v>69</v>
      </c>
      <c r="B7">
        <v>0</v>
      </c>
      <c r="C7" s="13" t="s">
        <v>111</v>
      </c>
      <c r="D7" t="s">
        <v>59</v>
      </c>
      <c r="E7" t="s">
        <v>61</v>
      </c>
    </row>
    <row r="8" spans="1:5" x14ac:dyDescent="0.35">
      <c r="A8" s="11" t="s">
        <v>70</v>
      </c>
      <c r="B8">
        <v>0</v>
      </c>
      <c r="C8" s="15" t="s">
        <v>113</v>
      </c>
      <c r="D8" t="s">
        <v>59</v>
      </c>
      <c r="E8" t="s">
        <v>62</v>
      </c>
    </row>
    <row r="10" spans="1:5" x14ac:dyDescent="0.35">
      <c r="A10" s="12" t="s">
        <v>109</v>
      </c>
      <c r="B10">
        <v>0</v>
      </c>
      <c r="C10" s="14" t="s">
        <v>112</v>
      </c>
      <c r="D10" t="s">
        <v>59</v>
      </c>
      <c r="E10" t="s">
        <v>117</v>
      </c>
    </row>
    <row r="11" spans="1:5" x14ac:dyDescent="0.35">
      <c r="A11" s="12" t="s">
        <v>110</v>
      </c>
      <c r="B11">
        <v>0</v>
      </c>
      <c r="C11" s="14" t="s">
        <v>112</v>
      </c>
      <c r="D11" t="s">
        <v>59</v>
      </c>
      <c r="E11" t="s">
        <v>115</v>
      </c>
    </row>
    <row r="12" spans="1:5" x14ac:dyDescent="0.35">
      <c r="A12" s="13" t="s">
        <v>111</v>
      </c>
      <c r="B12">
        <v>0</v>
      </c>
      <c r="C12" s="15" t="s">
        <v>113</v>
      </c>
      <c r="D12" t="s">
        <v>59</v>
      </c>
      <c r="E12" t="s">
        <v>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CB42-7AB4-42FE-8730-1DA7F29CEB7C}">
  <dimension ref="A1:D27"/>
  <sheetViews>
    <sheetView workbookViewId="0">
      <selection activeCell="B22" sqref="B22"/>
    </sheetView>
  </sheetViews>
  <sheetFormatPr defaultRowHeight="14.5" x14ac:dyDescent="0.35"/>
  <cols>
    <col min="1" max="1" width="11.81640625" bestFit="1" customWidth="1"/>
    <col min="2" max="2" width="10.54296875" bestFit="1" customWidth="1"/>
    <col min="3" max="3" width="19" customWidth="1"/>
  </cols>
  <sheetData>
    <row r="1" spans="1:4" x14ac:dyDescent="0.35">
      <c r="A1" t="s">
        <v>169</v>
      </c>
      <c r="B1" t="s">
        <v>170</v>
      </c>
      <c r="C1" t="s">
        <v>171</v>
      </c>
      <c r="D1" t="s">
        <v>172</v>
      </c>
    </row>
    <row r="2" spans="1:4" x14ac:dyDescent="0.35">
      <c r="A2" t="s">
        <v>173</v>
      </c>
      <c r="B2" t="s">
        <v>173</v>
      </c>
      <c r="C2" t="s">
        <v>173</v>
      </c>
      <c r="D2" t="s">
        <v>173</v>
      </c>
    </row>
    <row r="3" spans="1:4" x14ac:dyDescent="0.35">
      <c r="A3">
        <v>5250000</v>
      </c>
      <c r="B3">
        <v>1341443.3592857146</v>
      </c>
      <c r="C3">
        <v>5250000</v>
      </c>
      <c r="D3">
        <v>1795800</v>
      </c>
    </row>
    <row r="4" spans="1:4" x14ac:dyDescent="0.35">
      <c r="A4">
        <v>551216.56113103207</v>
      </c>
      <c r="B4">
        <v>485629.54390109907</v>
      </c>
      <c r="C4">
        <v>6901586.9452852076</v>
      </c>
      <c r="D4">
        <v>1075469.4576432705</v>
      </c>
    </row>
    <row r="5" spans="1:4" x14ac:dyDescent="0.35">
      <c r="A5">
        <v>551216.57557326043</v>
      </c>
      <c r="B5">
        <v>485629.54390109907</v>
      </c>
      <c r="C5">
        <v>6901587.0099834129</v>
      </c>
      <c r="D5">
        <v>1075469.457643271</v>
      </c>
    </row>
    <row r="6" spans="1:4" x14ac:dyDescent="0.35">
      <c r="A6">
        <v>551216.58498942398</v>
      </c>
      <c r="B6">
        <v>485629.5439010993</v>
      </c>
      <c r="C6">
        <v>6901587.0570660951</v>
      </c>
      <c r="D6">
        <v>1075469.4576432707</v>
      </c>
    </row>
    <row r="7" spans="1:4" x14ac:dyDescent="0.35">
      <c r="A7">
        <v>551216.59416456544</v>
      </c>
      <c r="B7">
        <v>485629.54390109918</v>
      </c>
      <c r="C7">
        <v>6901587.109696283</v>
      </c>
      <c r="D7">
        <v>1075469.4576432705</v>
      </c>
    </row>
    <row r="8" spans="1:4" x14ac:dyDescent="0.35">
      <c r="A8">
        <v>554249.16858991492</v>
      </c>
      <c r="B8">
        <v>197018.82961538492</v>
      </c>
      <c r="C8">
        <v>7072021.7180077368</v>
      </c>
      <c r="D8">
        <v>1075469.4576432707</v>
      </c>
    </row>
    <row r="9" spans="1:4" x14ac:dyDescent="0.35">
      <c r="A9">
        <v>554249.16858991492</v>
      </c>
      <c r="B9">
        <v>197018.82961538501</v>
      </c>
      <c r="C9">
        <v>7072021.7180077424</v>
      </c>
      <c r="D9">
        <v>1075469.4576432705</v>
      </c>
    </row>
    <row r="10" spans="1:4" x14ac:dyDescent="0.35">
      <c r="A10">
        <v>554249.16858991492</v>
      </c>
      <c r="B10">
        <v>197018.82961538498</v>
      </c>
      <c r="C10">
        <v>7072021.7180077452</v>
      </c>
      <c r="D10">
        <v>1075469.4576432705</v>
      </c>
    </row>
    <row r="11" spans="1:4" x14ac:dyDescent="0.35">
      <c r="A11">
        <v>554249.16858991492</v>
      </c>
      <c r="B11">
        <v>197018.82961538495</v>
      </c>
      <c r="C11">
        <v>7072021.7180077462</v>
      </c>
      <c r="D11">
        <v>1075469.457643271</v>
      </c>
    </row>
    <row r="12" spans="1:4" x14ac:dyDescent="0.35">
      <c r="A12">
        <v>554249.16858991503</v>
      </c>
      <c r="B12">
        <v>197018.82961538457</v>
      </c>
      <c r="C12">
        <v>7072021.7180077471</v>
      </c>
      <c r="D12">
        <v>1075469.4576432705</v>
      </c>
    </row>
    <row r="13" spans="1:4" x14ac:dyDescent="0.35">
      <c r="A13">
        <v>554249.16858991492</v>
      </c>
      <c r="B13">
        <v>42086.184615384642</v>
      </c>
      <c r="C13">
        <v>7072021.7180077489</v>
      </c>
      <c r="D13">
        <v>1084377.9083575564</v>
      </c>
    </row>
    <row r="14" spans="1:4" x14ac:dyDescent="0.35">
      <c r="A14">
        <v>554249.16858991492</v>
      </c>
      <c r="B14">
        <v>42086.184615384642</v>
      </c>
      <c r="C14">
        <v>7072021.7180077499</v>
      </c>
      <c r="D14">
        <v>1084377.9083575564</v>
      </c>
    </row>
    <row r="15" spans="1:4" x14ac:dyDescent="0.35">
      <c r="A15">
        <v>554249.16858991492</v>
      </c>
      <c r="B15">
        <v>42086.184615384642</v>
      </c>
      <c r="C15">
        <v>7072021.7180077508</v>
      </c>
      <c r="D15">
        <v>1084377.9083575564</v>
      </c>
    </row>
    <row r="16" spans="1:4" x14ac:dyDescent="0.35">
      <c r="A16">
        <v>554249.16858991492</v>
      </c>
      <c r="B16">
        <v>42086.184615384642</v>
      </c>
      <c r="C16">
        <v>7072021.7180077508</v>
      </c>
      <c r="D16">
        <v>1084377.9083575564</v>
      </c>
    </row>
    <row r="17" spans="1:4" x14ac:dyDescent="0.35">
      <c r="A17">
        <v>554249.16858991492</v>
      </c>
      <c r="B17">
        <v>42086.184615384642</v>
      </c>
      <c r="C17">
        <v>7072021.7180077499</v>
      </c>
      <c r="D17">
        <v>1084377.9083575562</v>
      </c>
    </row>
    <row r="18" spans="1:4" x14ac:dyDescent="0.35">
      <c r="A18">
        <v>434803.26268231875</v>
      </c>
      <c r="B18">
        <v>30666.738461538484</v>
      </c>
      <c r="C18">
        <v>7068700.1098035006</v>
      </c>
      <c r="D18">
        <v>1078921.6351385533</v>
      </c>
    </row>
    <row r="19" spans="1:4" x14ac:dyDescent="0.35">
      <c r="A19">
        <v>434803.26268231875</v>
      </c>
      <c r="B19">
        <v>30666.738461538484</v>
      </c>
      <c r="C19">
        <v>7068700.1098035006</v>
      </c>
      <c r="D19">
        <v>1078921.6351385533</v>
      </c>
    </row>
    <row r="20" spans="1:4" x14ac:dyDescent="0.35">
      <c r="A20">
        <v>434803.26268231875</v>
      </c>
      <c r="B20">
        <v>30666.738461538484</v>
      </c>
      <c r="C20">
        <v>7068700.1098035006</v>
      </c>
      <c r="D20">
        <v>1078921.6351385533</v>
      </c>
    </row>
    <row r="21" spans="1:4" x14ac:dyDescent="0.35">
      <c r="A21">
        <v>434803.26268231875</v>
      </c>
      <c r="B21">
        <v>30666.738461538484</v>
      </c>
      <c r="C21">
        <v>7068700.1098035024</v>
      </c>
      <c r="D21">
        <v>1078921.6351385531</v>
      </c>
    </row>
    <row r="22" spans="1:4" x14ac:dyDescent="0.35">
      <c r="A22">
        <v>434803.26268231875</v>
      </c>
      <c r="B22">
        <v>30666.738461538484</v>
      </c>
      <c r="C22">
        <v>7068700.1098035015</v>
      </c>
      <c r="D22">
        <v>1078921.6351385533</v>
      </c>
    </row>
    <row r="23" spans="1:4" x14ac:dyDescent="0.35">
      <c r="A23">
        <v>434803.26268231875</v>
      </c>
      <c r="B23">
        <v>30666.73846153848</v>
      </c>
      <c r="C23">
        <v>7068700.1098035024</v>
      </c>
      <c r="D23">
        <v>1096738.5365671248</v>
      </c>
    </row>
    <row r="24" spans="1:4" x14ac:dyDescent="0.35">
      <c r="A24">
        <v>434803.26268231863</v>
      </c>
      <c r="B24">
        <v>30666.738461538473</v>
      </c>
      <c r="C24">
        <v>7068700.1098035043</v>
      </c>
      <c r="D24">
        <v>1096738.5365671243</v>
      </c>
    </row>
    <row r="25" spans="1:4" x14ac:dyDescent="0.35">
      <c r="A25">
        <v>434803.26268231863</v>
      </c>
      <c r="B25">
        <v>30666.738461538473</v>
      </c>
      <c r="C25">
        <v>7068700.1098035024</v>
      </c>
      <c r="D25">
        <v>1096738.5365671248</v>
      </c>
    </row>
    <row r="26" spans="1:4" x14ac:dyDescent="0.35">
      <c r="A26">
        <v>434803.26268231863</v>
      </c>
      <c r="B26">
        <v>30666.738461538473</v>
      </c>
      <c r="C26">
        <v>7068700.1098035043</v>
      </c>
      <c r="D26">
        <v>1096738.5365671248</v>
      </c>
    </row>
    <row r="27" spans="1:4" x14ac:dyDescent="0.35">
      <c r="A27">
        <v>434803.26268231863</v>
      </c>
      <c r="B27">
        <v>30666.738461538473</v>
      </c>
      <c r="C27">
        <v>7068700.1098035052</v>
      </c>
      <c r="D27">
        <v>1096738.5365671243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65DB-4E14-4CC8-A402-6936646CC8F8}">
  <dimension ref="A1:I54"/>
  <sheetViews>
    <sheetView workbookViewId="0">
      <selection sqref="A1:XFD1048576"/>
    </sheetView>
  </sheetViews>
  <sheetFormatPr defaultRowHeight="14.5" x14ac:dyDescent="0.35"/>
  <cols>
    <col min="1" max="1" width="26.7265625" customWidth="1"/>
    <col min="2" max="2" width="24.453125" customWidth="1"/>
    <col min="3" max="3" width="23.7265625" customWidth="1"/>
    <col min="4" max="4" width="30.7265625" bestFit="1" customWidth="1"/>
    <col min="5" max="5" width="91.54296875" style="23" bestFit="1" customWidth="1"/>
    <col min="6" max="6" width="36.26953125" bestFit="1" customWidth="1"/>
    <col min="7" max="7" width="56.453125" bestFit="1" customWidth="1"/>
  </cols>
  <sheetData>
    <row r="1" spans="1:7" x14ac:dyDescent="0.35">
      <c r="A1" s="1" t="s">
        <v>0</v>
      </c>
      <c r="B1" s="1" t="s">
        <v>9</v>
      </c>
      <c r="C1" s="1" t="s">
        <v>138</v>
      </c>
      <c r="D1" s="1" t="s">
        <v>5</v>
      </c>
      <c r="E1" s="22" t="s">
        <v>18</v>
      </c>
      <c r="F1" s="1" t="s">
        <v>73</v>
      </c>
      <c r="G1" s="1" t="s">
        <v>184</v>
      </c>
    </row>
    <row r="2" spans="1:7" x14ac:dyDescent="0.35">
      <c r="A2" s="20" t="s">
        <v>54</v>
      </c>
      <c r="B2" s="5">
        <v>25</v>
      </c>
      <c r="C2" s="5">
        <v>25</v>
      </c>
      <c r="D2" t="s">
        <v>8</v>
      </c>
      <c r="E2" s="23" t="s">
        <v>241</v>
      </c>
    </row>
    <row r="3" spans="1:7" x14ac:dyDescent="0.35">
      <c r="A3" s="20" t="s">
        <v>12</v>
      </c>
      <c r="B3" s="5">
        <v>1000000000</v>
      </c>
      <c r="C3" s="5">
        <v>1000000000</v>
      </c>
      <c r="D3" t="s">
        <v>198</v>
      </c>
      <c r="E3" s="23" t="s">
        <v>244</v>
      </c>
      <c r="F3" s="2"/>
    </row>
    <row r="4" spans="1:7" x14ac:dyDescent="0.35">
      <c r="A4" s="20" t="s">
        <v>13</v>
      </c>
      <c r="B4" s="4">
        <v>200000000</v>
      </c>
      <c r="C4" s="4">
        <f>164*10*365</f>
        <v>598600</v>
      </c>
      <c r="D4" t="s">
        <v>198</v>
      </c>
      <c r="E4" s="23" t="s">
        <v>240</v>
      </c>
      <c r="F4" s="2"/>
    </row>
    <row r="5" spans="1:7" x14ac:dyDescent="0.35">
      <c r="A5" s="20" t="s">
        <v>151</v>
      </c>
      <c r="B5" s="4">
        <v>25</v>
      </c>
      <c r="C5" s="4">
        <v>25</v>
      </c>
      <c r="D5" t="s">
        <v>8</v>
      </c>
      <c r="E5" s="23" t="s">
        <v>242</v>
      </c>
    </row>
    <row r="6" spans="1:7" x14ac:dyDescent="0.35">
      <c r="A6" s="20" t="s">
        <v>152</v>
      </c>
      <c r="B6" s="4">
        <v>25</v>
      </c>
      <c r="C6" s="4">
        <v>25</v>
      </c>
      <c r="D6" t="s">
        <v>8</v>
      </c>
      <c r="E6" s="23" t="s">
        <v>243</v>
      </c>
    </row>
    <row r="7" spans="1:7" x14ac:dyDescent="0.35">
      <c r="A7" s="20" t="s">
        <v>139</v>
      </c>
      <c r="B7" s="4">
        <f>B35*B39</f>
        <v>7837.6883333333335</v>
      </c>
      <c r="C7" s="4">
        <f>C35*C39</f>
        <v>1500</v>
      </c>
      <c r="D7" t="s">
        <v>211</v>
      </c>
      <c r="E7" s="23" t="s">
        <v>225</v>
      </c>
    </row>
    <row r="8" spans="1:7" ht="16.5" x14ac:dyDescent="0.35">
      <c r="A8" s="20" t="s">
        <v>140</v>
      </c>
      <c r="B8" s="30">
        <f>(B35*B39-B39)/B3</f>
        <v>7.4458039166666668E-6</v>
      </c>
      <c r="C8" s="30">
        <f>(C35*C39-C39)/C3</f>
        <v>4.9999999999999998E-7</v>
      </c>
      <c r="D8" t="s">
        <v>212</v>
      </c>
      <c r="E8" s="23" t="s">
        <v>192</v>
      </c>
    </row>
    <row r="9" spans="1:7" x14ac:dyDescent="0.35">
      <c r="A9" s="20" t="s">
        <v>141</v>
      </c>
      <c r="B9" s="4">
        <f>B36*B40</f>
        <v>15559.460000000001</v>
      </c>
      <c r="C9" s="4">
        <f>C36*C40</f>
        <v>1383.5894999999998</v>
      </c>
      <c r="D9" t="s">
        <v>211</v>
      </c>
      <c r="E9" s="23" t="s">
        <v>226</v>
      </c>
    </row>
    <row r="10" spans="1:7" ht="16.5" x14ac:dyDescent="0.35">
      <c r="A10" s="20" t="s">
        <v>146</v>
      </c>
      <c r="B10" s="4">
        <f>(B36*B40-B40)/B4</f>
        <v>7.3907435000000006E-5</v>
      </c>
      <c r="C10" s="4">
        <f>(C36*C40-C40)/C4</f>
        <v>7.7045856999665872E-4</v>
      </c>
      <c r="D10" t="s">
        <v>212</v>
      </c>
      <c r="E10" s="29" t="s">
        <v>227</v>
      </c>
    </row>
    <row r="11" spans="1:7" x14ac:dyDescent="0.35">
      <c r="A11" s="20" t="s">
        <v>149</v>
      </c>
      <c r="B11" s="30">
        <v>3</v>
      </c>
      <c r="C11" s="30">
        <v>1.5</v>
      </c>
      <c r="D11" t="s">
        <v>6</v>
      </c>
      <c r="E11" s="29" t="s">
        <v>218</v>
      </c>
    </row>
    <row r="12" spans="1:7" x14ac:dyDescent="0.35">
      <c r="A12" s="20" t="s">
        <v>150</v>
      </c>
      <c r="B12" s="30">
        <v>3</v>
      </c>
      <c r="C12" s="30">
        <v>1.5</v>
      </c>
      <c r="D12" t="s">
        <v>6</v>
      </c>
      <c r="E12" s="29" t="s">
        <v>217</v>
      </c>
    </row>
    <row r="13" spans="1:7" x14ac:dyDescent="0.35">
      <c r="A13" s="20" t="s">
        <v>254</v>
      </c>
      <c r="B13" s="4">
        <v>0.03</v>
      </c>
      <c r="C13" s="4">
        <v>0.03</v>
      </c>
      <c r="D13" t="s">
        <v>6</v>
      </c>
      <c r="E13" s="29" t="s">
        <v>253</v>
      </c>
      <c r="F13" t="s">
        <v>257</v>
      </c>
    </row>
    <row r="14" spans="1:7" x14ac:dyDescent="0.35">
      <c r="A14" s="3" t="s">
        <v>55</v>
      </c>
      <c r="B14" s="3">
        <f xml:space="preserve"> 2*B17/((1-B28)*B30)</f>
        <v>920.00000000000011</v>
      </c>
      <c r="C14" s="3">
        <f>0.92*1248*1000/(365*24)</f>
        <v>131.06849315068493</v>
      </c>
      <c r="D14" t="s">
        <v>197</v>
      </c>
      <c r="E14" s="29" t="s">
        <v>229</v>
      </c>
      <c r="F14" s="2" t="s">
        <v>136</v>
      </c>
      <c r="G14" t="s">
        <v>137</v>
      </c>
    </row>
    <row r="15" spans="1:7" x14ac:dyDescent="0.35">
      <c r="A15" s="3" t="s">
        <v>175</v>
      </c>
      <c r="B15" s="3">
        <f>2*B18/((1-B29)*B31)</f>
        <v>973.02291226472437</v>
      </c>
      <c r="C15" s="3">
        <f>C6*(19000/660+33000/1050+11000/510+14000/610+14000/630+20000/990+54000/2360+94000/3790+32000/1840+41000/2190+38000/2270+58000/3540+24000/1480)/13</f>
        <v>539.03241761902643</v>
      </c>
      <c r="D15" t="s">
        <v>197</v>
      </c>
      <c r="E15" s="29" t="s">
        <v>228</v>
      </c>
      <c r="F15" s="2" t="s">
        <v>188</v>
      </c>
      <c r="G15" t="s">
        <v>189</v>
      </c>
    </row>
    <row r="16" spans="1:7" x14ac:dyDescent="0.35">
      <c r="A16" s="3" t="s">
        <v>16</v>
      </c>
      <c r="B16" s="3">
        <f>378328057*0.92/(365*(2387))</f>
        <v>399.49476610177271</v>
      </c>
      <c r="C16" s="3">
        <f>378328057*0.92/(365*(2387))</f>
        <v>399.49476610177271</v>
      </c>
      <c r="D16" s="19" t="s">
        <v>196</v>
      </c>
      <c r="E16" s="29" t="s">
        <v>232</v>
      </c>
      <c r="F16" s="2" t="s">
        <v>193</v>
      </c>
      <c r="G16" t="s">
        <v>106</v>
      </c>
    </row>
    <row r="17" spans="1:9" x14ac:dyDescent="0.35">
      <c r="A17" s="3" t="s">
        <v>147</v>
      </c>
      <c r="B17" s="3">
        <f>0.92*700</f>
        <v>644</v>
      </c>
      <c r="C17" s="3">
        <f>0.92*700</f>
        <v>644</v>
      </c>
      <c r="D17" t="s">
        <v>199</v>
      </c>
      <c r="E17" s="29" t="s">
        <v>231</v>
      </c>
      <c r="F17" s="26" t="s">
        <v>195</v>
      </c>
      <c r="G17" t="s">
        <v>194</v>
      </c>
    </row>
    <row r="18" spans="1:9" x14ac:dyDescent="0.35">
      <c r="A18" s="3" t="s">
        <v>148</v>
      </c>
      <c r="B18" s="3">
        <f>(0.92*6000000000/(8000000)+100)</f>
        <v>790</v>
      </c>
      <c r="C18" s="3">
        <f>0.92*6000000000/(8000000)</f>
        <v>690</v>
      </c>
      <c r="D18" t="s">
        <v>199</v>
      </c>
      <c r="E18" s="29" t="s">
        <v>230</v>
      </c>
      <c r="F18" s="2" t="s">
        <v>191</v>
      </c>
      <c r="G18" t="s">
        <v>263</v>
      </c>
      <c r="H18" t="s">
        <v>262</v>
      </c>
      <c r="I18" t="s">
        <v>264</v>
      </c>
    </row>
    <row r="19" spans="1:9" x14ac:dyDescent="0.35">
      <c r="A19" s="3" t="s">
        <v>176</v>
      </c>
      <c r="B19" s="3">
        <v>11</v>
      </c>
      <c r="C19" s="3">
        <v>11</v>
      </c>
      <c r="D19" t="s">
        <v>19</v>
      </c>
      <c r="E19" s="29" t="s">
        <v>233</v>
      </c>
      <c r="F19" s="2" t="s">
        <v>87</v>
      </c>
      <c r="G19" t="s">
        <v>88</v>
      </c>
    </row>
    <row r="20" spans="1:9" x14ac:dyDescent="0.35">
      <c r="A20" s="3" t="s">
        <v>26</v>
      </c>
      <c r="B20" s="3">
        <f>(30+12)/2</f>
        <v>21</v>
      </c>
      <c r="C20" s="3">
        <f>(30+12)/2</f>
        <v>21</v>
      </c>
      <c r="D20" t="s">
        <v>19</v>
      </c>
      <c r="E20" s="29" t="s">
        <v>234</v>
      </c>
      <c r="F20" s="26" t="s">
        <v>86</v>
      </c>
      <c r="G20" t="s">
        <v>85</v>
      </c>
    </row>
    <row r="21" spans="1:9" x14ac:dyDescent="0.35">
      <c r="A21" s="3" t="s">
        <v>124</v>
      </c>
      <c r="B21" s="3">
        <v>3055</v>
      </c>
      <c r="C21" s="3">
        <v>3055</v>
      </c>
      <c r="D21" t="s">
        <v>201</v>
      </c>
      <c r="E21" s="29" t="s">
        <v>238</v>
      </c>
      <c r="F21" s="26" t="s">
        <v>127</v>
      </c>
      <c r="G21" t="s">
        <v>200</v>
      </c>
    </row>
    <row r="22" spans="1:9" x14ac:dyDescent="0.35">
      <c r="A22" s="3" t="s">
        <v>177</v>
      </c>
      <c r="B22" s="3">
        <v>286</v>
      </c>
      <c r="C22" s="3">
        <v>286</v>
      </c>
      <c r="D22" t="s">
        <v>34</v>
      </c>
      <c r="E22" s="29" t="s">
        <v>236</v>
      </c>
      <c r="F22" s="26" t="s">
        <v>203</v>
      </c>
      <c r="G22" t="s">
        <v>205</v>
      </c>
    </row>
    <row r="23" spans="1:9" x14ac:dyDescent="0.35">
      <c r="A23" s="3" t="s">
        <v>178</v>
      </c>
      <c r="B23" s="3">
        <f>245*1000000/1480000</f>
        <v>165.54054054054055</v>
      </c>
      <c r="C23" s="3">
        <f>(110000/660 + 176000/1050 + 85000/510 + 102000/610 +  105000/630 + 164000/990 + 69000/410 + 391000/2360 + 627000/3790 + 303000/1840 + 363000/2190 + 375000/2270 + 586000/3540 + 245000/1480)/14</f>
        <v>166.18554089640148</v>
      </c>
      <c r="D23" t="s">
        <v>34</v>
      </c>
      <c r="E23" s="29" t="s">
        <v>235</v>
      </c>
      <c r="F23" s="26" t="s">
        <v>188</v>
      </c>
      <c r="G23" t="s">
        <v>190</v>
      </c>
    </row>
    <row r="24" spans="1:9" x14ac:dyDescent="0.35">
      <c r="A24" s="3" t="s">
        <v>36</v>
      </c>
      <c r="B24" s="3">
        <f>277.78*79/B26</f>
        <v>6880.4853577475387</v>
      </c>
      <c r="C24" s="3">
        <f>((4.6+6.3+1+3.1+3.9+0.2-16.6+1.1)*24 *1000 )*24/(2387*1000000) + 223*4*10^9/(2387*1000000)</f>
        <v>373.69169400921658</v>
      </c>
      <c r="D24" t="s">
        <v>34</v>
      </c>
      <c r="E24" s="29" t="s">
        <v>239</v>
      </c>
      <c r="F24" s="26" t="s">
        <v>193</v>
      </c>
      <c r="G24" t="s">
        <v>174</v>
      </c>
    </row>
    <row r="25" spans="1:9" x14ac:dyDescent="0.35">
      <c r="A25" s="3" t="s">
        <v>128</v>
      </c>
      <c r="B25" s="3">
        <f>46.3/3.6*1000</f>
        <v>12861.111111111111</v>
      </c>
      <c r="C25" s="3">
        <f>46.3/3.6*1000</f>
        <v>12861.111111111111</v>
      </c>
      <c r="D25" t="s">
        <v>201</v>
      </c>
      <c r="E25" s="29" t="s">
        <v>237</v>
      </c>
      <c r="F25" s="26" t="s">
        <v>99</v>
      </c>
      <c r="G25" t="s">
        <v>206</v>
      </c>
    </row>
    <row r="26" spans="1:9" x14ac:dyDescent="0.35">
      <c r="A26" s="3" t="s">
        <v>122</v>
      </c>
      <c r="B26" s="34">
        <f xml:space="preserve"> 74*43.1/1000</f>
        <v>3.1894</v>
      </c>
      <c r="C26" s="3">
        <f>2387/(164+90+97)</f>
        <v>6.800569800569801</v>
      </c>
      <c r="D26" t="s">
        <v>208</v>
      </c>
      <c r="E26" s="29" t="s">
        <v>246</v>
      </c>
      <c r="F26" s="26" t="s">
        <v>193</v>
      </c>
      <c r="G26" t="s">
        <v>207</v>
      </c>
    </row>
    <row r="27" spans="1:9" x14ac:dyDescent="0.35">
      <c r="A27" s="3" t="s">
        <v>248</v>
      </c>
      <c r="B27" s="3">
        <f xml:space="preserve"> 74*43.1/1000</f>
        <v>3.1894</v>
      </c>
      <c r="C27" s="3">
        <f xml:space="preserve"> 74*43.1/1000</f>
        <v>3.1894</v>
      </c>
      <c r="D27" t="s">
        <v>208</v>
      </c>
      <c r="E27" s="29" t="s">
        <v>214</v>
      </c>
      <c r="F27" s="26" t="s">
        <v>215</v>
      </c>
    </row>
    <row r="28" spans="1:9" x14ac:dyDescent="0.35">
      <c r="A28" s="3" t="s">
        <v>51</v>
      </c>
      <c r="B28" s="34">
        <v>0.3</v>
      </c>
      <c r="C28" s="3">
        <v>0.1</v>
      </c>
      <c r="D28" t="s">
        <v>52</v>
      </c>
      <c r="E28" s="29" t="s">
        <v>222</v>
      </c>
      <c r="F28" s="26" t="s">
        <v>83</v>
      </c>
      <c r="G28" t="s">
        <v>75</v>
      </c>
    </row>
    <row r="29" spans="1:9" x14ac:dyDescent="0.35">
      <c r="A29" s="3" t="s">
        <v>179</v>
      </c>
      <c r="B29" s="3">
        <f>(1-86/(86+138)*0.85)</f>
        <v>0.67366071428571428</v>
      </c>
      <c r="C29" s="3">
        <f>(1-86/(86+138)*0.85)</f>
        <v>0.67366071428571428</v>
      </c>
      <c r="D29" t="s">
        <v>52</v>
      </c>
      <c r="E29" s="29" t="s">
        <v>221</v>
      </c>
      <c r="F29" s="26" t="s">
        <v>252</v>
      </c>
      <c r="G29" t="s">
        <v>250</v>
      </c>
    </row>
    <row r="30" spans="1:9" x14ac:dyDescent="0.35">
      <c r="A30" s="36" t="s">
        <v>46</v>
      </c>
      <c r="B30" s="34">
        <v>2</v>
      </c>
      <c r="C30" s="3">
        <v>2.1</v>
      </c>
      <c r="D30" t="s">
        <v>208</v>
      </c>
      <c r="E30" s="29" t="s">
        <v>224</v>
      </c>
      <c r="F30" s="26" t="s">
        <v>203</v>
      </c>
      <c r="G30" t="s">
        <v>204</v>
      </c>
      <c r="H30" s="35" t="s">
        <v>261</v>
      </c>
    </row>
    <row r="31" spans="1:9" x14ac:dyDescent="0.35">
      <c r="A31" s="3" t="s">
        <v>47</v>
      </c>
      <c r="B31" s="3">
        <f>7.46*0.667</f>
        <v>4.9758200000000006</v>
      </c>
      <c r="C31" s="3">
        <f>(0.086+0.138)/(4*0.0339866)</f>
        <v>1.6477082144139161</v>
      </c>
      <c r="D31" t="s">
        <v>208</v>
      </c>
      <c r="E31" s="29" t="s">
        <v>223</v>
      </c>
      <c r="F31" s="26" t="s">
        <v>251</v>
      </c>
      <c r="G31" s="28" t="s">
        <v>249</v>
      </c>
      <c r="I31" s="27"/>
    </row>
    <row r="32" spans="1:9" x14ac:dyDescent="0.35">
      <c r="A32" s="3" t="s">
        <v>49</v>
      </c>
      <c r="B32" s="3">
        <v>0.01</v>
      </c>
      <c r="C32" s="3">
        <v>0.01</v>
      </c>
      <c r="D32" t="s">
        <v>208</v>
      </c>
      <c r="E32" s="29" t="s">
        <v>245</v>
      </c>
      <c r="F32" s="32" t="s">
        <v>209</v>
      </c>
      <c r="G32" t="s">
        <v>213</v>
      </c>
      <c r="H32" s="7"/>
    </row>
    <row r="33" spans="1:7" x14ac:dyDescent="0.35">
      <c r="A33" s="21" t="s">
        <v>183</v>
      </c>
      <c r="B33" s="33">
        <f>45/Timeseries!$J$7</f>
        <v>0.22417745185981705</v>
      </c>
      <c r="C33" s="33">
        <f>45/Timeseries!$J$7</f>
        <v>0.22417745185981705</v>
      </c>
      <c r="D33" s="19" t="s">
        <v>19</v>
      </c>
      <c r="E33" s="29" t="s">
        <v>216</v>
      </c>
      <c r="F33" s="26" t="s">
        <v>219</v>
      </c>
      <c r="G33" t="s">
        <v>202</v>
      </c>
    </row>
    <row r="34" spans="1:7" x14ac:dyDescent="0.35">
      <c r="E34" s="29"/>
      <c r="F34" s="32"/>
    </row>
    <row r="35" spans="1:7" x14ac:dyDescent="0.35">
      <c r="A35" s="21" t="s">
        <v>210</v>
      </c>
      <c r="B35" s="30">
        <v>20</v>
      </c>
      <c r="C35" s="4">
        <v>1.5</v>
      </c>
      <c r="D35" t="s">
        <v>6</v>
      </c>
      <c r="E35" s="29"/>
      <c r="F35" s="32"/>
    </row>
    <row r="36" spans="1:7" x14ac:dyDescent="0.35">
      <c r="A36" s="21" t="s">
        <v>220</v>
      </c>
      <c r="B36" s="30">
        <v>20</v>
      </c>
      <c r="C36" s="4">
        <v>1.5</v>
      </c>
      <c r="D36" t="s">
        <v>6</v>
      </c>
    </row>
    <row r="37" spans="1:7" x14ac:dyDescent="0.35">
      <c r="A37" s="31" t="s">
        <v>255</v>
      </c>
      <c r="B37" s="30">
        <v>0.1</v>
      </c>
      <c r="C37" s="4">
        <v>1.5</v>
      </c>
      <c r="D37" t="s">
        <v>6</v>
      </c>
    </row>
    <row r="38" spans="1:7" x14ac:dyDescent="0.35">
      <c r="A38" s="31" t="s">
        <v>256</v>
      </c>
      <c r="B38" s="30">
        <v>0.1</v>
      </c>
      <c r="C38" s="4">
        <v>1.5</v>
      </c>
      <c r="D38" t="s">
        <v>6</v>
      </c>
    </row>
    <row r="39" spans="1:7" x14ac:dyDescent="0.35">
      <c r="A39" s="21" t="s">
        <v>39</v>
      </c>
      <c r="B39" s="3">
        <f>B50</f>
        <v>391.88441666666665</v>
      </c>
      <c r="C39" s="3">
        <v>1000</v>
      </c>
      <c r="D39" t="s">
        <v>211</v>
      </c>
      <c r="E39" s="23" t="s">
        <v>40</v>
      </c>
      <c r="F39" t="s">
        <v>186</v>
      </c>
      <c r="G39" s="2" t="s">
        <v>185</v>
      </c>
    </row>
    <row r="40" spans="1:7" x14ac:dyDescent="0.35">
      <c r="A40" s="21" t="s">
        <v>41</v>
      </c>
      <c r="B40" s="3">
        <f>B51</f>
        <v>777.97300000000007</v>
      </c>
      <c r="C40" s="3">
        <f>1.129*0.817*1000</f>
        <v>922.39299999999992</v>
      </c>
      <c r="D40" t="s">
        <v>211</v>
      </c>
      <c r="E40" s="23" t="s">
        <v>42</v>
      </c>
      <c r="F40" t="s">
        <v>187</v>
      </c>
      <c r="G40" s="2" t="s">
        <v>103</v>
      </c>
    </row>
    <row r="42" spans="1:7" x14ac:dyDescent="0.35">
      <c r="A42" s="16" t="s">
        <v>167</v>
      </c>
      <c r="B42">
        <f>MAX(Timeseries!$C$2:$C$26)</f>
        <v>2.8500000000000001E-2</v>
      </c>
      <c r="C42">
        <f>MAX(Timeseries!$C$2:$C$26)</f>
        <v>2.8500000000000001E-2</v>
      </c>
    </row>
    <row r="43" spans="1:7" x14ac:dyDescent="0.35">
      <c r="A43" t="s">
        <v>163</v>
      </c>
      <c r="B43">
        <f>MAX(Timeseries!$I$2:$I$26)</f>
        <v>3.1320000000000001E-2</v>
      </c>
      <c r="C43">
        <f>MAX(Timeseries!$I$2:$I$26)</f>
        <v>3.1320000000000001E-2</v>
      </c>
      <c r="D43" t="s">
        <v>14</v>
      </c>
    </row>
    <row r="44" spans="1:7" x14ac:dyDescent="0.35">
      <c r="A44" t="s">
        <v>164</v>
      </c>
      <c r="B44">
        <f>MAX(Timeseries!$S$2:$S$26)</f>
        <v>300</v>
      </c>
      <c r="C44">
        <f>MAX(Timeseries!$S$2:$S$26)</f>
        <v>300</v>
      </c>
      <c r="D44" t="s">
        <v>19</v>
      </c>
    </row>
    <row r="45" spans="1:7" x14ac:dyDescent="0.35">
      <c r="A45" t="s">
        <v>168</v>
      </c>
      <c r="B45" t="e">
        <f>MIN(Timeseries!#REF!)</f>
        <v>#REF!</v>
      </c>
      <c r="C45" t="e">
        <f>MIN(Timeseries!#REF!)</f>
        <v>#REF!</v>
      </c>
    </row>
    <row r="46" spans="1:7" x14ac:dyDescent="0.35">
      <c r="A46" s="19" t="s">
        <v>161</v>
      </c>
      <c r="B46" s="19" t="e">
        <f>-B19+#REF!*B45*(1-B28)</f>
        <v>#REF!</v>
      </c>
      <c r="C46" s="19" t="e">
        <f>-C19+#REF!*C45*(1-C28)</f>
        <v>#REF!</v>
      </c>
      <c r="D46" t="s">
        <v>165</v>
      </c>
    </row>
    <row r="47" spans="1:7" x14ac:dyDescent="0.35">
      <c r="A47" s="19" t="s">
        <v>162</v>
      </c>
      <c r="B47" s="19" t="e">
        <f>((B25*B43 +#REF!* B31*B44 +#REF!*  B31*B33) - (B24*B42 +#REF! *#REF! *B44 +#REF! *#REF!*B33)*B26)/B26</f>
        <v>#REF!</v>
      </c>
      <c r="C47" s="19" t="e">
        <f>((C25*C43 +#REF!* C31*C44 +#REF!*  C31*C33) - (C24*C42 +#REF! *#REF! *C44 +#REF! *#REF!*C44)*C26)/C26</f>
        <v>#REF!</v>
      </c>
      <c r="D47" t="s">
        <v>165</v>
      </c>
    </row>
    <row r="49" spans="1:4" x14ac:dyDescent="0.35">
      <c r="A49" t="s">
        <v>258</v>
      </c>
      <c r="B49">
        <f>(B14*B30*(1-Parameters!B18) +B17)/Parameters!B4+B21*Timeseries!H2+Parameters!B16*Timeseries!C2+(Parameters!B11+Parameters!B12)*B30*(1-B28) + Timeseries!J2*B30*B28</f>
        <v>272.85836804747981</v>
      </c>
      <c r="D49" t="s">
        <v>211</v>
      </c>
    </row>
    <row r="50" spans="1:4" x14ac:dyDescent="0.35">
      <c r="A50" t="s">
        <v>259</v>
      </c>
      <c r="B50">
        <f>(B17)/Parameters!B4+B21*Timeseries!H2+B30*Timeseries!J2</f>
        <v>391.88441666666665</v>
      </c>
    </row>
    <row r="51" spans="1:4" x14ac:dyDescent="0.35">
      <c r="A51" t="s">
        <v>260</v>
      </c>
      <c r="B51">
        <f>B18/B6+B25*Parameters!G2+B31*Timeseries!J2</f>
        <v>777.97300000000007</v>
      </c>
    </row>
    <row r="54" spans="1:4" ht="19" customHeight="1" x14ac:dyDescent="0.35"/>
  </sheetData>
  <hyperlinks>
    <hyperlink ref="F20" r:id="rId1" display="https://doi.org/10.1021/acs.est.7b01723" xr:uid="{A38C2574-CD7B-45BB-9C76-6CA3A68E3BD4}"/>
    <hyperlink ref="F19" r:id="rId2" xr:uid="{FD83DF61-FB75-4A4B-BC5B-A5406CB00455}"/>
    <hyperlink ref="F14" r:id="rId3" tooltip="Persistent link using digital object identifier" display="https://doi.org/10.1016/j.fuel.2022.127074" xr:uid="{AEF4A0C5-57FB-4550-AD56-7D4840B3A77F}"/>
    <hyperlink ref="G40" r:id="rId4" xr:uid="{6613190E-0CF4-4D5F-AFBF-7FF9F84777F5}"/>
    <hyperlink ref="F21" r:id="rId5" xr:uid="{A1202C04-7AE9-47F4-A6CB-8D19799E13E0}"/>
    <hyperlink ref="F16" r:id="rId6" xr:uid="{F8C72115-C77A-4E1A-B1FF-B36E6046659C}"/>
    <hyperlink ref="F30" r:id="rId7" xr:uid="{CCC2DB4E-BBDB-42F1-85D5-27FAD4075948}"/>
    <hyperlink ref="F24" r:id="rId8" xr:uid="{FA515BF5-1E73-4321-B938-01F9253C8914}"/>
    <hyperlink ref="G39" r:id="rId9" xr:uid="{48D35960-71FC-4107-A0A2-302678D8FB00}"/>
    <hyperlink ref="F31" r:id="rId10" tooltip="Persistent link using digital object identifier" display="https://doi.org/10.1016/j.enconman.2012.09.026" xr:uid="{26DEF607-63A9-41AD-BC23-E9FD80348298}"/>
    <hyperlink ref="F29" r:id="rId11" tooltip="Persistent link using digital object identifier" display="https://doi.org/10.1016/j.enconman.2012.09.026" xr:uid="{670ABA49-FF2E-45CF-968E-B7C96FCDB421}"/>
    <hyperlink ref="F23" r:id="rId12" tooltip="Persistent link using digital object identifier" xr:uid="{45FFB519-7705-4EEB-9491-857DF22802BE}"/>
    <hyperlink ref="F15" r:id="rId13" xr:uid="{3DEDDD41-7A0F-43BF-8B7B-EC295AF3C6FF}"/>
    <hyperlink ref="F18" r:id="rId14" xr:uid="{496268A6-4184-49BE-8CB5-520C74AD9466}"/>
    <hyperlink ref="F22" r:id="rId15" tooltip="Persistent link using digital object identifier" xr:uid="{79F6141B-2FEC-4D1E-843A-E3E26CDCF977}"/>
    <hyperlink ref="F26" r:id="rId16" xr:uid="{1C38FD32-D491-42FD-8783-32AD0A506683}"/>
    <hyperlink ref="F28" r:id="rId17" xr:uid="{7AD11848-1198-4482-9734-2A65ABED73FD}"/>
    <hyperlink ref="F33" r:id="rId18" xr:uid="{B4934D67-B25A-408C-8E60-97B912CFB999}"/>
    <hyperlink ref="F25" r:id="rId19" xr:uid="{522A0A15-1CC1-4DE2-88E0-784049B52020}"/>
    <hyperlink ref="F17" r:id="rId20" xr:uid="{D8245522-64BC-4193-8F6C-1E994517C8A0}"/>
    <hyperlink ref="F27" r:id="rId21" xr:uid="{E222A490-914F-4E42-A907-E83FE344D57F}"/>
    <hyperlink ref="H30" r:id="rId22" xr:uid="{3CE0B2E9-E2E4-44DD-B3E9-BE1856B8AF62}"/>
  </hyperlinks>
  <pageMargins left="0.7" right="0.7" top="0.75" bottom="0.75" header="0.3" footer="0.3"/>
  <legacyDrawing r:id="rId2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2A4AA-5C59-4889-820D-7D648C70DB8B}">
  <dimension ref="A1:Z43"/>
  <sheetViews>
    <sheetView zoomScale="55" zoomScaleNormal="55" workbookViewId="0">
      <selection activeCell="R1" sqref="R1"/>
    </sheetView>
  </sheetViews>
  <sheetFormatPr defaultRowHeight="14.5" x14ac:dyDescent="0.35"/>
  <sheetData>
    <row r="1" spans="1:26" x14ac:dyDescent="0.35">
      <c r="A1" s="1" t="s">
        <v>0</v>
      </c>
      <c r="B1" s="1" t="s">
        <v>9</v>
      </c>
      <c r="C1" s="1" t="s">
        <v>138</v>
      </c>
      <c r="D1" s="1" t="s">
        <v>2</v>
      </c>
      <c r="E1" s="1" t="s">
        <v>5</v>
      </c>
      <c r="F1" s="1" t="s">
        <v>18</v>
      </c>
      <c r="G1" s="1" t="s">
        <v>74</v>
      </c>
      <c r="H1" s="1" t="s">
        <v>73</v>
      </c>
      <c r="M1" s="1" t="s">
        <v>182</v>
      </c>
      <c r="N1" s="1" t="s">
        <v>130</v>
      </c>
      <c r="O1" s="1" t="s">
        <v>131</v>
      </c>
      <c r="P1" s="1" t="s">
        <v>132</v>
      </c>
      <c r="Q1" s="1" t="s">
        <v>181</v>
      </c>
      <c r="R1" s="1" t="s">
        <v>160</v>
      </c>
      <c r="S1" s="1" t="s">
        <v>135</v>
      </c>
      <c r="T1" s="1" t="s">
        <v>157</v>
      </c>
      <c r="U1" s="1" t="s">
        <v>158</v>
      </c>
      <c r="X1" s="18" t="s">
        <v>134</v>
      </c>
      <c r="Y1" s="1" t="s">
        <v>133</v>
      </c>
      <c r="Z1" s="1" t="s">
        <v>156</v>
      </c>
    </row>
    <row r="2" spans="1:26" x14ac:dyDescent="0.35">
      <c r="A2" s="17" t="s">
        <v>1</v>
      </c>
      <c r="B2" s="4">
        <v>1</v>
      </c>
      <c r="C2" s="4">
        <v>1</v>
      </c>
      <c r="D2">
        <v>200</v>
      </c>
      <c r="E2" t="s">
        <v>6</v>
      </c>
      <c r="F2" t="s">
        <v>118</v>
      </c>
      <c r="M2">
        <v>0</v>
      </c>
      <c r="N2">
        <v>2025</v>
      </c>
      <c r="O2">
        <v>0.2</v>
      </c>
      <c r="P2">
        <v>100</v>
      </c>
      <c r="Q2">
        <f>(170 *(1.02)^(3))*(1.02)^M2</f>
        <v>180.40536</v>
      </c>
      <c r="R2">
        <f>165/1000000</f>
        <v>1.65E-4</v>
      </c>
      <c r="S2">
        <f>Y2/1000</f>
        <v>5.1979999999999998E-2</v>
      </c>
      <c r="T2">
        <f>Z2/1000</f>
        <v>2.3050000000000001E-2</v>
      </c>
      <c r="U2">
        <f>AA2/1000</f>
        <v>0</v>
      </c>
      <c r="X2">
        <v>83</v>
      </c>
      <c r="Y2">
        <v>51.98</v>
      </c>
      <c r="Z2">
        <v>23.05</v>
      </c>
    </row>
    <row r="3" spans="1:26" x14ac:dyDescent="0.35">
      <c r="A3" s="17" t="s">
        <v>10</v>
      </c>
      <c r="B3" s="4">
        <f>B2/B4</f>
        <v>1</v>
      </c>
      <c r="C3" s="4">
        <f>C2/C4</f>
        <v>1</v>
      </c>
      <c r="D3">
        <f>D2/D4</f>
        <v>40</v>
      </c>
      <c r="F3" t="s">
        <v>119</v>
      </c>
      <c r="M3">
        <v>1</v>
      </c>
      <c r="N3">
        <v>2026</v>
      </c>
      <c r="O3">
        <v>0.2</v>
      </c>
      <c r="P3">
        <v>100</v>
      </c>
      <c r="Q3">
        <f t="shared" ref="Q3:Q26" si="0">(170 *(1.02)^(3))*(1.02)^M3</f>
        <v>184.01346720000001</v>
      </c>
      <c r="R3">
        <f>165/1000000</f>
        <v>1.65E-4</v>
      </c>
      <c r="S3">
        <v>5.1979999999999998E-2</v>
      </c>
      <c r="T3">
        <v>2.3050000000000001E-2</v>
      </c>
      <c r="U3">
        <v>3.1320000000000001E-2</v>
      </c>
      <c r="X3">
        <v>85.5</v>
      </c>
      <c r="Y3">
        <v>51.98</v>
      </c>
      <c r="Z3">
        <v>23.05</v>
      </c>
    </row>
    <row r="4" spans="1:26" x14ac:dyDescent="0.35">
      <c r="A4" s="17" t="s">
        <v>3</v>
      </c>
      <c r="B4" s="4">
        <v>1</v>
      </c>
      <c r="C4" s="4">
        <v>1</v>
      </c>
      <c r="D4">
        <v>5</v>
      </c>
      <c r="E4" t="s">
        <v>6</v>
      </c>
      <c r="F4" t="s">
        <v>25</v>
      </c>
      <c r="M4">
        <v>2</v>
      </c>
      <c r="N4">
        <v>2027</v>
      </c>
      <c r="O4">
        <v>0.2</v>
      </c>
      <c r="P4">
        <v>100</v>
      </c>
      <c r="Q4">
        <f t="shared" si="0"/>
        <v>187.69373654399999</v>
      </c>
      <c r="R4">
        <v>1.65E-4</v>
      </c>
      <c r="S4">
        <v>5.1979999999999998E-2</v>
      </c>
      <c r="T4">
        <v>2.3050000000000001E-2</v>
      </c>
      <c r="U4">
        <v>3.1320000000000001E-2</v>
      </c>
      <c r="X4">
        <v>88</v>
      </c>
      <c r="Y4">
        <v>51.98</v>
      </c>
      <c r="Z4">
        <v>23.05</v>
      </c>
    </row>
    <row r="5" spans="1:26" x14ac:dyDescent="0.35">
      <c r="A5" s="16" t="s">
        <v>54</v>
      </c>
      <c r="B5" s="4">
        <v>25</v>
      </c>
      <c r="C5" s="4">
        <v>25</v>
      </c>
      <c r="D5">
        <v>25</v>
      </c>
      <c r="E5" t="s">
        <v>8</v>
      </c>
      <c r="F5" t="s">
        <v>120</v>
      </c>
      <c r="M5">
        <v>3</v>
      </c>
      <c r="N5">
        <v>2028</v>
      </c>
      <c r="O5">
        <v>0.2</v>
      </c>
      <c r="P5">
        <v>100</v>
      </c>
      <c r="Q5">
        <f t="shared" si="0"/>
        <v>191.44761127487999</v>
      </c>
      <c r="R5">
        <v>1.65E-4</v>
      </c>
      <c r="S5">
        <v>5.1979999999999998E-2</v>
      </c>
      <c r="T5">
        <v>2.3050000000000001E-2</v>
      </c>
      <c r="U5">
        <v>3.1320000000000001E-2</v>
      </c>
      <c r="X5">
        <v>90.5</v>
      </c>
      <c r="Y5">
        <v>51.98</v>
      </c>
      <c r="Z5">
        <v>23.05</v>
      </c>
    </row>
    <row r="6" spans="1:26" x14ac:dyDescent="0.35">
      <c r="A6" s="16" t="s">
        <v>4</v>
      </c>
      <c r="B6" s="4">
        <v>1</v>
      </c>
      <c r="C6" s="4">
        <v>1</v>
      </c>
      <c r="D6">
        <f>365*D5</f>
        <v>9125</v>
      </c>
      <c r="E6" t="s">
        <v>7</v>
      </c>
      <c r="F6" t="s">
        <v>121</v>
      </c>
      <c r="M6">
        <v>4</v>
      </c>
      <c r="N6">
        <v>2029</v>
      </c>
      <c r="O6">
        <v>0.2</v>
      </c>
      <c r="P6">
        <v>100</v>
      </c>
      <c r="Q6">
        <f t="shared" si="0"/>
        <v>195.27656350037759</v>
      </c>
      <c r="R6">
        <v>1.65E-4</v>
      </c>
      <c r="S6">
        <v>5.1979999999999998E-2</v>
      </c>
      <c r="T6">
        <v>2.3050000000000001E-2</v>
      </c>
      <c r="U6">
        <v>3.1320000000000001E-2</v>
      </c>
      <c r="X6">
        <v>93</v>
      </c>
      <c r="Y6">
        <v>51.98</v>
      </c>
      <c r="Z6">
        <v>23.05</v>
      </c>
    </row>
    <row r="7" spans="1:26" x14ac:dyDescent="0.35">
      <c r="A7" t="s">
        <v>12</v>
      </c>
      <c r="B7" s="5">
        <v>2500000</v>
      </c>
      <c r="C7" s="5">
        <v>2500000</v>
      </c>
      <c r="E7" t="s">
        <v>80</v>
      </c>
      <c r="F7" t="s">
        <v>24</v>
      </c>
      <c r="G7" t="s">
        <v>92</v>
      </c>
      <c r="H7" s="2" t="s">
        <v>91</v>
      </c>
      <c r="I7" s="4" t="s">
        <v>93</v>
      </c>
      <c r="M7">
        <v>5</v>
      </c>
      <c r="N7">
        <v>2030</v>
      </c>
      <c r="O7">
        <v>0.2</v>
      </c>
      <c r="P7">
        <v>150</v>
      </c>
      <c r="Q7">
        <f t="shared" si="0"/>
        <v>199.18209477038516</v>
      </c>
      <c r="R7">
        <v>1.65E-4</v>
      </c>
      <c r="S7">
        <v>5.2560000000000003E-2</v>
      </c>
      <c r="T7">
        <v>1.12E-2</v>
      </c>
      <c r="U7">
        <v>3.1320000000000001E-2</v>
      </c>
      <c r="X7">
        <v>95.5</v>
      </c>
      <c r="Y7">
        <v>52.56</v>
      </c>
      <c r="Z7">
        <v>11.2</v>
      </c>
    </row>
    <row r="8" spans="1:26" x14ac:dyDescent="0.35">
      <c r="A8" t="s">
        <v>13</v>
      </c>
      <c r="B8" s="4">
        <f>164*10*365</f>
        <v>598600</v>
      </c>
      <c r="C8" s="4">
        <f>164*10*365</f>
        <v>598600</v>
      </c>
      <c r="E8" t="s">
        <v>11</v>
      </c>
      <c r="F8" t="s">
        <v>23</v>
      </c>
      <c r="H8" s="2" t="s">
        <v>105</v>
      </c>
      <c r="M8">
        <v>6</v>
      </c>
      <c r="N8">
        <v>2031</v>
      </c>
      <c r="O8">
        <v>0.2</v>
      </c>
      <c r="P8">
        <v>150</v>
      </c>
      <c r="Q8">
        <f t="shared" si="0"/>
        <v>203.16573666579288</v>
      </c>
      <c r="R8">
        <v>1.65E-4</v>
      </c>
      <c r="S8">
        <v>5.2560000000000003E-2</v>
      </c>
      <c r="T8">
        <v>1.12E-2</v>
      </c>
      <c r="U8">
        <v>3.1320000000000001E-2</v>
      </c>
      <c r="X8">
        <v>98</v>
      </c>
      <c r="Y8">
        <v>52.56</v>
      </c>
      <c r="Z8">
        <v>11.2</v>
      </c>
    </row>
    <row r="9" spans="1:26" x14ac:dyDescent="0.35">
      <c r="A9" s="16" t="s">
        <v>55</v>
      </c>
      <c r="B9" s="3">
        <f>1248*1000*(1-B29)*B31/(365*24)</f>
        <v>269.26027397260276</v>
      </c>
      <c r="C9" s="3">
        <f>1248*1000*(1-C29)*C31/(365*24)</f>
        <v>269.26027397260276</v>
      </c>
      <c r="E9" t="s">
        <v>19</v>
      </c>
      <c r="F9" t="s">
        <v>22</v>
      </c>
      <c r="G9" t="s">
        <v>137</v>
      </c>
      <c r="H9" s="2" t="s">
        <v>136</v>
      </c>
      <c r="M9">
        <v>7</v>
      </c>
      <c r="N9">
        <v>2032</v>
      </c>
      <c r="O9">
        <v>0.2</v>
      </c>
      <c r="P9">
        <v>150</v>
      </c>
      <c r="Q9">
        <f t="shared" si="0"/>
        <v>207.22905139910867</v>
      </c>
      <c r="R9">
        <v>1.65E-4</v>
      </c>
      <c r="S9">
        <v>5.2560000000000003E-2</v>
      </c>
      <c r="T9">
        <v>1.12E-2</v>
      </c>
      <c r="U9">
        <v>3.1320000000000001E-2</v>
      </c>
      <c r="X9">
        <v>100.5</v>
      </c>
      <c r="Y9">
        <v>52.56</v>
      </c>
      <c r="Z9">
        <v>11.2</v>
      </c>
    </row>
    <row r="10" spans="1:26" x14ac:dyDescent="0.35">
      <c r="A10" s="16" t="s">
        <v>175</v>
      </c>
      <c r="B10" s="6">
        <v>300</v>
      </c>
      <c r="C10" s="6">
        <v>300</v>
      </c>
      <c r="H10" s="2"/>
      <c r="M10">
        <v>8</v>
      </c>
      <c r="N10">
        <v>2033</v>
      </c>
      <c r="O10">
        <v>0.2</v>
      </c>
      <c r="P10">
        <v>150</v>
      </c>
      <c r="Q10">
        <f t="shared" si="0"/>
        <v>211.37363242709088</v>
      </c>
      <c r="R10">
        <v>1.65E-4</v>
      </c>
      <c r="S10">
        <v>5.2560000000000003E-2</v>
      </c>
      <c r="T10">
        <v>1.12E-2</v>
      </c>
      <c r="U10">
        <v>3.1320000000000001E-2</v>
      </c>
      <c r="X10">
        <v>103</v>
      </c>
      <c r="Y10">
        <v>52.56</v>
      </c>
      <c r="Z10">
        <v>11.2</v>
      </c>
    </row>
    <row r="11" spans="1:26" x14ac:dyDescent="0.35">
      <c r="A11" s="16" t="s">
        <v>15</v>
      </c>
      <c r="B11" s="3">
        <v>300</v>
      </c>
      <c r="C11" s="3">
        <v>300</v>
      </c>
      <c r="E11" t="s">
        <v>17</v>
      </c>
      <c r="F11" t="s">
        <v>21</v>
      </c>
      <c r="G11" t="s">
        <v>95</v>
      </c>
      <c r="H11" s="2" t="s">
        <v>94</v>
      </c>
      <c r="M11">
        <v>9</v>
      </c>
      <c r="N11">
        <v>2034</v>
      </c>
      <c r="O11">
        <v>0.2</v>
      </c>
      <c r="P11">
        <v>150</v>
      </c>
      <c r="Q11">
        <f t="shared" si="0"/>
        <v>215.60110507563269</v>
      </c>
      <c r="R11">
        <v>1.65E-4</v>
      </c>
      <c r="S11">
        <v>5.2560000000000003E-2</v>
      </c>
      <c r="T11">
        <v>1.12E-2</v>
      </c>
      <c r="U11">
        <v>3.1320000000000001E-2</v>
      </c>
      <c r="X11">
        <v>105.5</v>
      </c>
      <c r="Y11">
        <v>52.56</v>
      </c>
      <c r="Z11">
        <v>11.2</v>
      </c>
    </row>
    <row r="12" spans="1:26" x14ac:dyDescent="0.35">
      <c r="A12" s="16" t="s">
        <v>16</v>
      </c>
      <c r="B12" s="3">
        <f>257800644/(B8*B28)</f>
        <v>63.328905586292606</v>
      </c>
      <c r="C12" s="3">
        <f>257800644/(C8*C28)</f>
        <v>63.328905586292606</v>
      </c>
      <c r="E12" t="s">
        <v>19</v>
      </c>
      <c r="F12" t="s">
        <v>96</v>
      </c>
      <c r="G12" t="s">
        <v>106</v>
      </c>
      <c r="H12" s="2" t="s">
        <v>105</v>
      </c>
      <c r="M12">
        <v>10</v>
      </c>
      <c r="N12">
        <v>2035</v>
      </c>
      <c r="O12">
        <v>0.2</v>
      </c>
      <c r="P12">
        <v>200</v>
      </c>
      <c r="Q12">
        <f t="shared" si="0"/>
        <v>219.91312717714536</v>
      </c>
      <c r="R12">
        <v>1.65E-4</v>
      </c>
      <c r="S12">
        <v>5.1369999999999999E-2</v>
      </c>
      <c r="T12">
        <v>1.111E-2</v>
      </c>
      <c r="U12">
        <v>3.0960000000000001E-2</v>
      </c>
      <c r="X12">
        <v>108</v>
      </c>
      <c r="Y12">
        <v>51.37</v>
      </c>
      <c r="Z12">
        <v>11.11</v>
      </c>
    </row>
    <row r="13" spans="1:26" x14ac:dyDescent="0.35">
      <c r="A13" s="16" t="s">
        <v>147</v>
      </c>
      <c r="B13" s="6">
        <v>300</v>
      </c>
      <c r="C13" s="6">
        <v>300</v>
      </c>
      <c r="E13" t="s">
        <v>17</v>
      </c>
      <c r="H13" s="2"/>
      <c r="M13">
        <v>11</v>
      </c>
      <c r="N13">
        <v>2036</v>
      </c>
      <c r="O13">
        <v>0.2</v>
      </c>
      <c r="P13">
        <v>200</v>
      </c>
      <c r="Q13">
        <f t="shared" si="0"/>
        <v>224.31138972068823</v>
      </c>
      <c r="R13">
        <v>1.65E-4</v>
      </c>
      <c r="S13">
        <v>5.1369999999999999E-2</v>
      </c>
      <c r="T13">
        <v>1.111E-2</v>
      </c>
      <c r="U13">
        <v>3.0960000000000001E-2</v>
      </c>
      <c r="X13">
        <v>110.5</v>
      </c>
      <c r="Y13">
        <v>51.37</v>
      </c>
      <c r="Z13">
        <v>11.11</v>
      </c>
    </row>
    <row r="14" spans="1:26" x14ac:dyDescent="0.35">
      <c r="A14" s="16" t="s">
        <v>148</v>
      </c>
      <c r="B14" s="6">
        <v>300</v>
      </c>
      <c r="C14" s="6">
        <v>300</v>
      </c>
      <c r="E14" t="s">
        <v>17</v>
      </c>
      <c r="H14" s="2"/>
      <c r="M14">
        <v>12</v>
      </c>
      <c r="N14">
        <v>2037</v>
      </c>
      <c r="O14">
        <v>0.1</v>
      </c>
      <c r="P14">
        <v>200</v>
      </c>
      <c r="Q14">
        <f t="shared" si="0"/>
        <v>228.79761751510202</v>
      </c>
      <c r="R14">
        <v>1.65E-4</v>
      </c>
      <c r="S14">
        <v>5.1369999999999999E-2</v>
      </c>
      <c r="T14">
        <v>1.111E-2</v>
      </c>
      <c r="U14">
        <v>3.0960000000000001E-2</v>
      </c>
      <c r="X14">
        <v>113</v>
      </c>
      <c r="Y14">
        <v>51.37</v>
      </c>
      <c r="Z14">
        <v>11.11</v>
      </c>
    </row>
    <row r="15" spans="1:26" x14ac:dyDescent="0.35">
      <c r="A15" s="16" t="s">
        <v>176</v>
      </c>
      <c r="B15" s="3">
        <v>15</v>
      </c>
      <c r="C15" s="3">
        <v>15</v>
      </c>
      <c r="E15" t="s">
        <v>19</v>
      </c>
      <c r="F15" t="s">
        <v>20</v>
      </c>
      <c r="G15" t="s">
        <v>88</v>
      </c>
      <c r="H15" s="2" t="s">
        <v>87</v>
      </c>
      <c r="M15">
        <v>13</v>
      </c>
      <c r="N15">
        <v>2038</v>
      </c>
      <c r="O15">
        <v>0.1</v>
      </c>
      <c r="P15">
        <v>200</v>
      </c>
      <c r="Q15">
        <f t="shared" si="0"/>
        <v>233.37356986540405</v>
      </c>
      <c r="R15">
        <v>1.65E-4</v>
      </c>
      <c r="S15">
        <v>5.1369999999999999E-2</v>
      </c>
      <c r="T15">
        <v>1.111E-2</v>
      </c>
      <c r="U15">
        <v>3.0960000000000001E-2</v>
      </c>
      <c r="X15">
        <v>115.5</v>
      </c>
      <c r="Y15">
        <v>51.37</v>
      </c>
      <c r="Z15">
        <v>11.11</v>
      </c>
    </row>
    <row r="16" spans="1:26" x14ac:dyDescent="0.35">
      <c r="A16" s="16" t="s">
        <v>26</v>
      </c>
      <c r="B16" s="3">
        <v>10</v>
      </c>
      <c r="C16" s="3">
        <v>10</v>
      </c>
      <c r="E16" t="s">
        <v>19</v>
      </c>
      <c r="F16" t="s">
        <v>27</v>
      </c>
      <c r="G16" t="s">
        <v>85</v>
      </c>
      <c r="H16" s="2" t="s">
        <v>86</v>
      </c>
      <c r="M16">
        <v>14</v>
      </c>
      <c r="N16">
        <v>2039</v>
      </c>
      <c r="O16">
        <v>0.1</v>
      </c>
      <c r="P16">
        <v>200</v>
      </c>
      <c r="Q16">
        <f t="shared" si="0"/>
        <v>238.04104126271216</v>
      </c>
      <c r="R16">
        <v>1.65E-4</v>
      </c>
      <c r="S16">
        <v>5.1369999999999999E-2</v>
      </c>
      <c r="T16">
        <v>1.111E-2</v>
      </c>
      <c r="U16">
        <v>3.0960000000000001E-2</v>
      </c>
      <c r="X16">
        <v>118</v>
      </c>
      <c r="Y16">
        <v>51.37</v>
      </c>
      <c r="Z16">
        <v>11.11</v>
      </c>
    </row>
    <row r="17" spans="1:26" x14ac:dyDescent="0.35">
      <c r="A17" s="16" t="s">
        <v>183</v>
      </c>
      <c r="B17" s="3" t="e">
        <f>45/Timeseries!#REF!</f>
        <v>#REF!</v>
      </c>
      <c r="C17" s="3">
        <v>150</v>
      </c>
      <c r="E17" t="s">
        <v>19</v>
      </c>
      <c r="F17" t="s">
        <v>28</v>
      </c>
      <c r="M17">
        <v>15</v>
      </c>
      <c r="N17">
        <v>2040</v>
      </c>
      <c r="O17">
        <v>0.1</v>
      </c>
      <c r="P17">
        <v>250</v>
      </c>
      <c r="Q17">
        <f t="shared" si="0"/>
        <v>242.80186208796633</v>
      </c>
      <c r="R17">
        <f>10/1000000</f>
        <v>1.0000000000000001E-5</v>
      </c>
      <c r="S17">
        <v>5.0180000000000002E-2</v>
      </c>
      <c r="T17">
        <v>1.12E-2</v>
      </c>
      <c r="U17">
        <v>3.024E-2</v>
      </c>
      <c r="X17">
        <v>120.5</v>
      </c>
      <c r="Y17">
        <v>50.18</v>
      </c>
      <c r="Z17">
        <v>11.2</v>
      </c>
    </row>
    <row r="18" spans="1:26" x14ac:dyDescent="0.35">
      <c r="A18" s="17" t="s">
        <v>29</v>
      </c>
      <c r="B18" s="3">
        <v>0.25</v>
      </c>
      <c r="C18" s="3">
        <v>0.25</v>
      </c>
      <c r="E18" t="s">
        <v>14</v>
      </c>
      <c r="F18" t="s">
        <v>30</v>
      </c>
      <c r="G18" t="s">
        <v>79</v>
      </c>
      <c r="H18" s="2" t="s">
        <v>78</v>
      </c>
      <c r="M18">
        <v>16</v>
      </c>
      <c r="N18">
        <v>2041</v>
      </c>
      <c r="O18">
        <v>0.1</v>
      </c>
      <c r="P18">
        <v>250</v>
      </c>
      <c r="Q18">
        <f t="shared" si="0"/>
        <v>247.65789932972569</v>
      </c>
      <c r="R18">
        <f>10/1000000</f>
        <v>1.0000000000000001E-5</v>
      </c>
      <c r="S18">
        <v>5.0180000000000002E-2</v>
      </c>
      <c r="T18">
        <v>1.12E-2</v>
      </c>
      <c r="U18">
        <v>3.024E-2</v>
      </c>
      <c r="X18">
        <v>123</v>
      </c>
      <c r="Y18">
        <v>50.18</v>
      </c>
      <c r="Z18">
        <v>11.2</v>
      </c>
    </row>
    <row r="19" spans="1:26" x14ac:dyDescent="0.35">
      <c r="A19" s="16" t="s">
        <v>38</v>
      </c>
      <c r="B19" s="3">
        <f>0.01*1000/3600</f>
        <v>2.7777777777777779E-3</v>
      </c>
      <c r="C19" s="3">
        <f>0.01*1000/3600</f>
        <v>2.7777777777777779E-3</v>
      </c>
      <c r="E19" t="s">
        <v>14</v>
      </c>
      <c r="F19" t="s">
        <v>129</v>
      </c>
      <c r="G19" t="s">
        <v>98</v>
      </c>
      <c r="H19" s="2" t="s">
        <v>97</v>
      </c>
      <c r="M19">
        <v>17</v>
      </c>
      <c r="N19">
        <v>2042</v>
      </c>
      <c r="O19">
        <v>0.1</v>
      </c>
      <c r="P19">
        <v>250</v>
      </c>
      <c r="Q19">
        <f t="shared" si="0"/>
        <v>252.61105731632023</v>
      </c>
      <c r="R19">
        <v>1.0000000000000001E-5</v>
      </c>
      <c r="S19">
        <v>5.0180000000000002E-2</v>
      </c>
      <c r="T19">
        <v>1.12E-2</v>
      </c>
      <c r="U19">
        <v>3.024E-2</v>
      </c>
      <c r="X19">
        <v>125.5</v>
      </c>
      <c r="Y19">
        <v>50.18</v>
      </c>
      <c r="Z19">
        <v>11.2</v>
      </c>
    </row>
    <row r="20" spans="1:26" x14ac:dyDescent="0.35">
      <c r="A20" s="17" t="s">
        <v>39</v>
      </c>
      <c r="B20" s="3">
        <v>1000</v>
      </c>
      <c r="C20" s="3">
        <v>1000</v>
      </c>
      <c r="E20" t="s">
        <v>17</v>
      </c>
      <c r="F20" t="s">
        <v>40</v>
      </c>
      <c r="H20" t="s">
        <v>84</v>
      </c>
      <c r="M20">
        <v>18</v>
      </c>
      <c r="N20">
        <v>2043</v>
      </c>
      <c r="O20">
        <v>0.1</v>
      </c>
      <c r="P20">
        <v>250</v>
      </c>
      <c r="Q20">
        <f t="shared" si="0"/>
        <v>257.66327846264659</v>
      </c>
      <c r="R20">
        <v>1.0000000000000001E-5</v>
      </c>
      <c r="S20">
        <v>5.0180000000000002E-2</v>
      </c>
      <c r="T20">
        <v>1.12E-2</v>
      </c>
      <c r="U20">
        <v>3.024E-2</v>
      </c>
      <c r="X20">
        <v>128</v>
      </c>
      <c r="Y20">
        <v>50.18</v>
      </c>
      <c r="Z20">
        <v>11.2</v>
      </c>
    </row>
    <row r="21" spans="1:26" x14ac:dyDescent="0.35">
      <c r="A21" s="17" t="s">
        <v>41</v>
      </c>
      <c r="B21" s="3">
        <f>1.2*819</f>
        <v>982.8</v>
      </c>
      <c r="C21" s="3">
        <f>1.2*819</f>
        <v>982.8</v>
      </c>
      <c r="E21" t="s">
        <v>17</v>
      </c>
      <c r="F21" t="s">
        <v>42</v>
      </c>
      <c r="G21" t="s">
        <v>104</v>
      </c>
      <c r="H21" s="2" t="s">
        <v>103</v>
      </c>
      <c r="M21">
        <v>19</v>
      </c>
      <c r="N21">
        <v>2044</v>
      </c>
      <c r="O21">
        <v>0.1</v>
      </c>
      <c r="P21">
        <v>250</v>
      </c>
      <c r="Q21">
        <f t="shared" si="0"/>
        <v>262.81654403189953</v>
      </c>
      <c r="R21">
        <v>1.0000000000000001E-5</v>
      </c>
      <c r="S21">
        <v>5.0180000000000002E-2</v>
      </c>
      <c r="T21">
        <v>1.12E-2</v>
      </c>
      <c r="U21">
        <v>3.024E-2</v>
      </c>
      <c r="X21">
        <v>130.5</v>
      </c>
      <c r="Y21">
        <v>50.18</v>
      </c>
      <c r="Z21">
        <v>11.2</v>
      </c>
    </row>
    <row r="22" spans="1:26" x14ac:dyDescent="0.35">
      <c r="A22" s="16" t="s">
        <v>124</v>
      </c>
      <c r="B22" s="3">
        <f>B23*4.4</f>
        <v>2200</v>
      </c>
      <c r="C22" s="3">
        <f>C23*4.4</f>
        <v>2200</v>
      </c>
      <c r="E22" t="s">
        <v>32</v>
      </c>
      <c r="F22" t="s">
        <v>125</v>
      </c>
      <c r="G22" t="s">
        <v>126</v>
      </c>
      <c r="H22" s="2" t="s">
        <v>127</v>
      </c>
      <c r="M22">
        <v>20</v>
      </c>
      <c r="N22">
        <v>2045</v>
      </c>
      <c r="O22">
        <v>0.1</v>
      </c>
      <c r="P22">
        <v>300</v>
      </c>
      <c r="Q22">
        <f t="shared" si="0"/>
        <v>268.07287491253754</v>
      </c>
      <c r="R22">
        <v>1.0000000000000001E-5</v>
      </c>
      <c r="S22">
        <v>4.9000000000000002E-2</v>
      </c>
      <c r="T22">
        <v>1.1470000000000001E-2</v>
      </c>
      <c r="U22">
        <v>2.9520000000000001E-2</v>
      </c>
      <c r="X22">
        <v>133</v>
      </c>
      <c r="Y22">
        <v>49</v>
      </c>
      <c r="Z22">
        <v>11.47</v>
      </c>
    </row>
    <row r="23" spans="1:26" x14ac:dyDescent="0.35">
      <c r="A23" s="16" t="s">
        <v>31</v>
      </c>
      <c r="B23" s="3">
        <v>500</v>
      </c>
      <c r="C23" s="3">
        <v>500</v>
      </c>
      <c r="E23" t="s">
        <v>32</v>
      </c>
      <c r="F23" t="s">
        <v>33</v>
      </c>
      <c r="G23" t="s">
        <v>89</v>
      </c>
      <c r="H23" s="2" t="s">
        <v>90</v>
      </c>
      <c r="M23">
        <v>21</v>
      </c>
      <c r="N23">
        <v>2046</v>
      </c>
      <c r="O23">
        <v>0.1</v>
      </c>
      <c r="P23">
        <v>300</v>
      </c>
      <c r="Q23">
        <f t="shared" si="0"/>
        <v>273.43433241078827</v>
      </c>
      <c r="R23">
        <v>1.0000000000000001E-5</v>
      </c>
      <c r="S23">
        <v>4.9000000000000002E-2</v>
      </c>
      <c r="T23">
        <v>1.1470000000000001E-2</v>
      </c>
      <c r="U23">
        <v>2.9520000000000001E-2</v>
      </c>
      <c r="X23">
        <v>135.5</v>
      </c>
      <c r="Y23">
        <v>49</v>
      </c>
      <c r="Z23">
        <v>11.47</v>
      </c>
    </row>
    <row r="24" spans="1:26" x14ac:dyDescent="0.35">
      <c r="A24" s="16" t="s">
        <v>177</v>
      </c>
      <c r="B24" s="3">
        <f>6*22730/3600</f>
        <v>37.883333333333333</v>
      </c>
      <c r="C24" s="3">
        <f>6*22730/3600</f>
        <v>37.883333333333333</v>
      </c>
      <c r="E24" t="s">
        <v>34</v>
      </c>
      <c r="F24" t="s">
        <v>35</v>
      </c>
      <c r="G24" t="s">
        <v>76</v>
      </c>
      <c r="H24" s="2" t="s">
        <v>77</v>
      </c>
      <c r="M24">
        <v>22</v>
      </c>
      <c r="N24">
        <v>2047</v>
      </c>
      <c r="O24">
        <v>0.1</v>
      </c>
      <c r="P24">
        <v>300</v>
      </c>
      <c r="Q24">
        <f t="shared" si="0"/>
        <v>278.90301905900407</v>
      </c>
      <c r="R24">
        <v>1.0000000000000001E-5</v>
      </c>
      <c r="S24">
        <v>4.9000000000000002E-2</v>
      </c>
      <c r="T24">
        <v>1.1470000000000001E-2</v>
      </c>
      <c r="U24">
        <v>2.9520000000000001E-2</v>
      </c>
      <c r="X24">
        <v>138</v>
      </c>
      <c r="Y24">
        <v>49</v>
      </c>
      <c r="Z24">
        <v>11.47</v>
      </c>
    </row>
    <row r="25" spans="1:26" x14ac:dyDescent="0.35">
      <c r="A25" s="16" t="s">
        <v>178</v>
      </c>
      <c r="B25" s="6">
        <v>60</v>
      </c>
      <c r="C25" s="6">
        <v>60</v>
      </c>
      <c r="E25" t="s">
        <v>34</v>
      </c>
      <c r="F25" t="s">
        <v>35</v>
      </c>
      <c r="G25" t="s">
        <v>76</v>
      </c>
      <c r="H25" s="2" t="s">
        <v>77</v>
      </c>
      <c r="M25">
        <v>23</v>
      </c>
      <c r="N25">
        <v>2048</v>
      </c>
      <c r="O25">
        <v>0.1</v>
      </c>
      <c r="P25">
        <v>300</v>
      </c>
      <c r="Q25">
        <f t="shared" si="0"/>
        <v>284.48107944018409</v>
      </c>
      <c r="R25">
        <v>1.0000000000000001E-5</v>
      </c>
      <c r="S25">
        <v>4.9000000000000002E-2</v>
      </c>
      <c r="T25">
        <v>1.1470000000000001E-2</v>
      </c>
      <c r="U25">
        <v>2.9520000000000001E-2</v>
      </c>
      <c r="X25">
        <v>140.5</v>
      </c>
      <c r="Y25">
        <v>49</v>
      </c>
      <c r="Z25">
        <v>11.47</v>
      </c>
    </row>
    <row r="26" spans="1:26" x14ac:dyDescent="0.35">
      <c r="A26" s="16" t="s">
        <v>36</v>
      </c>
      <c r="B26" s="8">
        <f>(4.6+6.3+1+3.1+3.9+0.2-16.6+1.1 + 223/2387*40)*24/2387*1000</f>
        <v>73.768662787136478</v>
      </c>
      <c r="C26" s="8">
        <f>(4.6+6.3+1+3.1+3.9+0.2-16.6+1.1 + 223/2387*40)*24/2387*1000</f>
        <v>73.768662787136478</v>
      </c>
      <c r="E26" t="s">
        <v>34</v>
      </c>
      <c r="F26" t="s">
        <v>37</v>
      </c>
      <c r="G26" t="s">
        <v>174</v>
      </c>
      <c r="H26" s="2" t="s">
        <v>105</v>
      </c>
      <c r="M26">
        <v>24</v>
      </c>
      <c r="N26">
        <v>2049</v>
      </c>
      <c r="O26">
        <v>0.1</v>
      </c>
      <c r="P26">
        <v>300</v>
      </c>
      <c r="Q26">
        <f t="shared" si="0"/>
        <v>290.17070102898776</v>
      </c>
      <c r="R26">
        <v>1.0000000000000001E-5</v>
      </c>
      <c r="S26">
        <v>4.9000000000000002E-2</v>
      </c>
      <c r="T26">
        <v>1.1470000000000001E-2</v>
      </c>
      <c r="U26">
        <v>2.9520000000000001E-2</v>
      </c>
      <c r="X26">
        <v>143</v>
      </c>
      <c r="Y26">
        <v>49</v>
      </c>
      <c r="Z26">
        <v>11.47</v>
      </c>
    </row>
    <row r="27" spans="1:26" x14ac:dyDescent="0.35">
      <c r="A27" s="16" t="s">
        <v>128</v>
      </c>
      <c r="B27" s="3">
        <f>1* 46.3/3600*1000*1000</f>
        <v>12861.111111111109</v>
      </c>
      <c r="C27" s="3">
        <f>1* 46.3/3600*1000*1000</f>
        <v>12861.111111111109</v>
      </c>
      <c r="E27" t="s">
        <v>32</v>
      </c>
      <c r="F27" t="s">
        <v>43</v>
      </c>
      <c r="G27" t="s">
        <v>100</v>
      </c>
      <c r="H27" s="2" t="s">
        <v>99</v>
      </c>
    </row>
    <row r="28" spans="1:26" x14ac:dyDescent="0.35">
      <c r="A28" s="16" t="s">
        <v>122</v>
      </c>
      <c r="B28" s="3">
        <f>2387/(164+90+97)</f>
        <v>6.800569800569801</v>
      </c>
      <c r="C28" s="3">
        <f>2387/(164+90+97)</f>
        <v>6.800569800569801</v>
      </c>
      <c r="E28" t="s">
        <v>44</v>
      </c>
      <c r="F28" t="s">
        <v>123</v>
      </c>
      <c r="G28" t="s">
        <v>107</v>
      </c>
      <c r="H28" s="2" t="s">
        <v>105</v>
      </c>
    </row>
    <row r="29" spans="1:26" x14ac:dyDescent="0.35">
      <c r="A29" s="16" t="s">
        <v>51</v>
      </c>
      <c r="B29" s="3">
        <v>0.1</v>
      </c>
      <c r="C29" s="3">
        <v>0.1</v>
      </c>
      <c r="E29" t="s">
        <v>52</v>
      </c>
      <c r="F29" t="s">
        <v>53</v>
      </c>
      <c r="G29" t="s">
        <v>75</v>
      </c>
      <c r="H29" s="2" t="s">
        <v>83</v>
      </c>
    </row>
    <row r="30" spans="1:26" x14ac:dyDescent="0.35">
      <c r="A30" s="16" t="s">
        <v>179</v>
      </c>
      <c r="B30" s="6">
        <v>0.1</v>
      </c>
      <c r="C30" s="6">
        <v>0.1</v>
      </c>
      <c r="E30" t="s">
        <v>52</v>
      </c>
      <c r="F30" t="s">
        <v>180</v>
      </c>
      <c r="G30" t="s">
        <v>75</v>
      </c>
      <c r="H30" s="2" t="s">
        <v>83</v>
      </c>
    </row>
    <row r="31" spans="1:26" x14ac:dyDescent="0.35">
      <c r="A31" s="16" t="s">
        <v>46</v>
      </c>
      <c r="B31" s="3">
        <v>2.1</v>
      </c>
      <c r="C31" s="3">
        <v>2.1</v>
      </c>
      <c r="E31" t="s">
        <v>44</v>
      </c>
      <c r="F31" t="s">
        <v>45</v>
      </c>
      <c r="G31" t="s">
        <v>82</v>
      </c>
      <c r="H31" s="2" t="s">
        <v>81</v>
      </c>
    </row>
    <row r="32" spans="1:26" x14ac:dyDescent="0.35">
      <c r="A32" s="16" t="s">
        <v>47</v>
      </c>
      <c r="B32" s="6">
        <v>3</v>
      </c>
      <c r="C32" s="6">
        <v>3</v>
      </c>
      <c r="E32" t="s">
        <v>44</v>
      </c>
      <c r="F32" t="s">
        <v>48</v>
      </c>
      <c r="I32" t="s">
        <v>101</v>
      </c>
    </row>
    <row r="33" spans="1:9" x14ac:dyDescent="0.35">
      <c r="A33" s="16" t="s">
        <v>49</v>
      </c>
      <c r="B33" s="6">
        <v>0.1</v>
      </c>
      <c r="C33" s="6">
        <v>0.1</v>
      </c>
      <c r="E33" t="s">
        <v>44</v>
      </c>
      <c r="F33" t="s">
        <v>50</v>
      </c>
      <c r="I33" s="7" t="s">
        <v>102</v>
      </c>
    </row>
    <row r="34" spans="1:9" x14ac:dyDescent="0.35">
      <c r="A34" s="16" t="s">
        <v>139</v>
      </c>
      <c r="B34" s="4">
        <f>B52</f>
        <v>0</v>
      </c>
      <c r="C34" s="4">
        <f>C52</f>
        <v>0</v>
      </c>
      <c r="F34" t="s">
        <v>142</v>
      </c>
    </row>
    <row r="35" spans="1:9" x14ac:dyDescent="0.35">
      <c r="A35" s="16" t="s">
        <v>140</v>
      </c>
      <c r="B35" s="4">
        <f>B34/(B38*B7)</f>
        <v>0</v>
      </c>
      <c r="C35" s="4" t="e">
        <f>C34/(C52*C7)</f>
        <v>#DIV/0!</v>
      </c>
      <c r="F35" t="s">
        <v>145</v>
      </c>
    </row>
    <row r="36" spans="1:9" x14ac:dyDescent="0.35">
      <c r="A36" s="16" t="s">
        <v>141</v>
      </c>
      <c r="B36" s="4">
        <f>B53</f>
        <v>0</v>
      </c>
      <c r="C36" s="4">
        <f>C53</f>
        <v>0</v>
      </c>
      <c r="F36" t="s">
        <v>144</v>
      </c>
    </row>
    <row r="37" spans="1:9" x14ac:dyDescent="0.35">
      <c r="A37" s="16" t="s">
        <v>146</v>
      </c>
      <c r="B37" s="4">
        <f>B36/(B39*B8)</f>
        <v>0</v>
      </c>
      <c r="C37" s="4" t="e">
        <f>C36/(C53*C8)</f>
        <v>#DIV/0!</v>
      </c>
      <c r="F37" t="s">
        <v>143</v>
      </c>
    </row>
    <row r="38" spans="1:9" x14ac:dyDescent="0.35">
      <c r="A38" s="16" t="s">
        <v>149</v>
      </c>
      <c r="B38" s="4">
        <v>1.5</v>
      </c>
      <c r="C38" s="4">
        <v>1.5</v>
      </c>
    </row>
    <row r="39" spans="1:9" x14ac:dyDescent="0.35">
      <c r="A39" s="16" t="s">
        <v>150</v>
      </c>
      <c r="B39" s="4">
        <v>1.5</v>
      </c>
      <c r="C39" s="4">
        <v>2</v>
      </c>
    </row>
    <row r="40" spans="1:9" x14ac:dyDescent="0.35">
      <c r="A40" s="16" t="s">
        <v>151</v>
      </c>
      <c r="B40" s="4">
        <v>25</v>
      </c>
      <c r="C40" s="4">
        <v>25</v>
      </c>
    </row>
    <row r="41" spans="1:9" x14ac:dyDescent="0.35">
      <c r="A41" s="16" t="s">
        <v>152</v>
      </c>
      <c r="B41" s="4">
        <v>25</v>
      </c>
      <c r="C41" s="4">
        <v>25</v>
      </c>
    </row>
    <row r="42" spans="1:9" x14ac:dyDescent="0.35">
      <c r="A42" s="16" t="s">
        <v>153</v>
      </c>
      <c r="B42" s="4">
        <v>1</v>
      </c>
      <c r="C42" s="4">
        <v>1</v>
      </c>
      <c r="F42" t="s">
        <v>155</v>
      </c>
    </row>
    <row r="43" spans="1:9" x14ac:dyDescent="0.35">
      <c r="A43" s="16" t="s">
        <v>154</v>
      </c>
      <c r="B43" s="4">
        <v>1</v>
      </c>
      <c r="C43" s="4">
        <v>1</v>
      </c>
      <c r="F43" t="s">
        <v>155</v>
      </c>
    </row>
  </sheetData>
  <hyperlinks>
    <hyperlink ref="H18" r:id="rId1" location=":~:text=For%20household%20consumers%20in%20the,per%20kWh)%20and%20Italy%20(%E2%82%AC" xr:uid="{C13B9C98-C291-42E9-802A-00B482D1FE04}"/>
    <hyperlink ref="H16" r:id="rId2" display="https://doi.org/10.1021/acs.est.7b01723" xr:uid="{DA7A7767-228B-46E2-B0ED-E942D63D2422}"/>
    <hyperlink ref="H15" r:id="rId3" xr:uid="{DC43FAC3-0E25-4CA1-93BC-D9EFA70D3505}"/>
    <hyperlink ref="H7" r:id="rId4" xr:uid="{F1B1BBED-EDDB-4296-8830-87AC999D6BD8}"/>
    <hyperlink ref="H9" r:id="rId5" tooltip="Persistent link using digital object identifier" display="https://doi.org/10.1016/j.fuel.2022.127074" xr:uid="{AF6CB33D-5B15-4FA0-BB6F-BAC2D0991C43}"/>
    <hyperlink ref="H11" r:id="rId6" xr:uid="{A4C24429-3104-4B5D-8E7A-5488CA85C1E7}"/>
    <hyperlink ref="H19" r:id="rId7" xr:uid="{737813D0-2771-48B4-8E48-A98C71B23C9C}"/>
    <hyperlink ref="H8" r:id="rId8" xr:uid="{D8979BEE-9FF7-4740-B03D-BB4FD6279FC7}"/>
    <hyperlink ref="H21" r:id="rId9" xr:uid="{D46F9E40-0B79-44B9-AB6C-95460C6F4B22}"/>
    <hyperlink ref="H22" r:id="rId10" xr:uid="{B3817A7E-9F08-487C-97DA-E4D73447CB8C}"/>
    <hyperlink ref="H12" r:id="rId11" xr:uid="{F6DC16EA-C9BF-4A91-A3B2-419122006318}"/>
    <hyperlink ref="H24" r:id="rId12" location=":~:text=For%20household%20consumers%20in%20the,per%20kWh)%20and%20Italy%20(%E2%82%AC" display="https://ec.europa.eu/eurostat/statistics-explained/index.php?title=Electricity_price_statistics#:~:text=For%20household%20consumers%20in%20the,per%20kWh)%20and%20Italy%20(%E2%82%AC" xr:uid="{51472E0F-FEBC-4ECF-AE0B-883E6D335B84}"/>
    <hyperlink ref="H31" r:id="rId13" display="https://zeroemissionsplatform.eu/co2-storage-cost/" xr:uid="{511E7437-2C13-4FE4-95CE-A39E1491A6F4}"/>
    <hyperlink ref="H26" r:id="rId14" xr:uid="{48E5663F-0F13-4418-8B03-D8044E18F8BF}"/>
    <hyperlink ref="H25" r:id="rId15" location=":~:text=For%20household%20consumers%20in%20the,per%20kWh)%20and%20Italy%20(%E2%82%AC" display="https://ec.europa.eu/eurostat/statistics-explained/index.php?title=Electricity_price_statistics#:~:text=For%20household%20consumers%20in%20the,per%20kWh)%20and%20Italy%20(%E2%82%AC" xr:uid="{B3DB6913-FC52-4968-A57E-32F2CD330D77}"/>
    <hyperlink ref="X1" r:id="rId16" display="Carbon credit price [€/tCO2]" xr:uid="{B438DA7D-7DE8-4367-92E3-99AD425898E1}"/>
  </hyperlinks>
  <pageMargins left="0.7" right="0.7" top="0.75" bottom="0.75" header="0.3" footer="0.3"/>
  <legacy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Parameters</vt:lpstr>
      <vt:lpstr>Timeseries</vt:lpstr>
      <vt:lpstr>Results</vt:lpstr>
      <vt:lpstr>Results_old</vt:lpstr>
      <vt:lpstr>Variables</vt:lpstr>
      <vt:lpstr>Data_export</vt:lpstr>
      <vt:lpstr>BackUpSheet_new</vt:lpstr>
      <vt:lpstr>BackUpSheet_old</vt:lpstr>
    </vt:vector>
  </TitlesOfParts>
  <Company>VITO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 Verbist</dc:creator>
  <cp:lastModifiedBy>Flore Verbist</cp:lastModifiedBy>
  <dcterms:created xsi:type="dcterms:W3CDTF">2023-02-20T14:37:58Z</dcterms:created>
  <dcterms:modified xsi:type="dcterms:W3CDTF">2024-10-01T17:14:04Z</dcterms:modified>
</cp:coreProperties>
</file>